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re cred 1\OneDrive\Área de Trabalho\FOLHA DE PAGAMENTO\1.MENSAL\2026\"/>
    </mc:Choice>
  </mc:AlternateContent>
  <xr:revisionPtr revIDLastSave="0" documentId="13_ncr:1_{3E1F78F1-C783-4CD0-9085-503F5F025211}" xr6:coauthVersionLast="47" xr6:coauthVersionMax="47" xr10:uidLastSave="{00000000-0000-0000-0000-000000000000}"/>
  <bookViews>
    <workbookView xWindow="-120" yWindow="-120" windowWidth="20730" windowHeight="11040" tabRatio="822" xr2:uid="{AFB6E9B5-2543-4EA8-8686-D32C0C04A96A}"/>
  </bookViews>
  <sheets>
    <sheet name="MEMORIA DE CALC FOLHA " sheetId="7" r:id="rId1"/>
    <sheet name="CALC AVULSOS" sheetId="6" r:id="rId2"/>
    <sheet name="ADM" sheetId="10" r:id="rId3"/>
    <sheet name="VIGILANTES" sheetId="8" r:id="rId4"/>
    <sheet name="CAMARAGIBE" sheetId="2" r:id="rId5"/>
    <sheet name="ONLINE" sheetId="9" r:id="rId6"/>
    <sheet name="SÃO LOURENCO" sheetId="3" r:id="rId7"/>
    <sheet name="CARPINA" sheetId="1" r:id="rId8"/>
    <sheet name="NAZARÉ" sheetId="5" r:id="rId9"/>
  </sheets>
  <definedNames>
    <definedName name="_xlnm.Print_Area" localSheetId="2">ADM!$A$1:$M$11</definedName>
    <definedName name="_xlnm.Print_Area" localSheetId="4">CAMARAGIBE!$A$1:$M$10</definedName>
    <definedName name="_xlnm.Print_Area" localSheetId="7">CARPINA!$A$1:$L$7</definedName>
    <definedName name="_xlnm.Print_Area" localSheetId="0">'MEMORIA DE CALC FOLHA '!$A$1:$L$48</definedName>
    <definedName name="_xlnm.Print_Area" localSheetId="8">NAZARÉ!$A$1:$K$8</definedName>
    <definedName name="_xlnm.Print_Area" localSheetId="5">ONLINE!$A$1:$M$8</definedName>
    <definedName name="_xlnm.Print_Area" localSheetId="6">'SÃO LOURENCO'!$A$1:$K$11</definedName>
    <definedName name="_xlnm.Print_Area" localSheetId="3">VIGILANTES!$A$1:$M$10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J8" i="9"/>
  <c r="J10" i="8"/>
  <c r="J11" i="10"/>
  <c r="K36" i="7"/>
  <c r="G36" i="7"/>
  <c r="K48" i="7"/>
  <c r="G48" i="7"/>
  <c r="H18" i="6"/>
  <c r="J10" i="2"/>
  <c r="H10" i="6"/>
  <c r="H25" i="6" l="1"/>
  <c r="H29" i="6" s="1"/>
  <c r="J7" i="1"/>
  <c r="J8" i="5" l="1"/>
</calcChain>
</file>

<file path=xl/sharedStrings.xml><?xml version="1.0" encoding="utf-8"?>
<sst xmlns="http://schemas.openxmlformats.org/spreadsheetml/2006/main" count="391" uniqueCount="154">
  <si>
    <t xml:space="preserve">CNPJ 34.148.327/0001-27 R SILVA ANDRADE REPRESENTAÇÕES </t>
  </si>
  <si>
    <t>QNT</t>
  </si>
  <si>
    <t>NOME</t>
  </si>
  <si>
    <t>D. ADM</t>
  </si>
  <si>
    <t>CPF</t>
  </si>
  <si>
    <t>FUNÇÃO</t>
  </si>
  <si>
    <t>LOJA</t>
  </si>
  <si>
    <t>SALÁRIO</t>
  </si>
  <si>
    <t>DESCONTOS</t>
  </si>
  <si>
    <t>CAMARAGIBE</t>
  </si>
  <si>
    <t>ALEXANDRE RICHARD DE ANDRADE</t>
  </si>
  <si>
    <t>VENDEDOR(A) EXTERNO</t>
  </si>
  <si>
    <t>SÃO LOURENÇO</t>
  </si>
  <si>
    <t>CARPINA</t>
  </si>
  <si>
    <t>TOTAL</t>
  </si>
  <si>
    <t>TOTAL GERAL</t>
  </si>
  <si>
    <t>106.975.684-90</t>
  </si>
  <si>
    <t>115.475.554-16</t>
  </si>
  <si>
    <t>CHAVE PIX</t>
  </si>
  <si>
    <t>OBSERVAÇÃO</t>
  </si>
  <si>
    <t>LAYSA HOLANDA DA SILVA</t>
  </si>
  <si>
    <t>11547555416</t>
  </si>
  <si>
    <t>PABULA ISRAELY DA SILVA BARROS</t>
  </si>
  <si>
    <t>717.206.384-89</t>
  </si>
  <si>
    <t>VALOR A RECEBER</t>
  </si>
  <si>
    <t xml:space="preserve"> </t>
  </si>
  <si>
    <t>D. ADMISSÃO</t>
  </si>
  <si>
    <t>AC</t>
  </si>
  <si>
    <t>X</t>
  </si>
  <si>
    <t>DESCONTO</t>
  </si>
  <si>
    <t>D. INICIO</t>
  </si>
  <si>
    <t>AMANDA HERCULANO RODRIGUES</t>
  </si>
  <si>
    <t>x</t>
  </si>
  <si>
    <t>130.623.224-46</t>
  </si>
  <si>
    <t>MAURICIO JOSE DE HOLANDA</t>
  </si>
  <si>
    <t>042.848.544-88</t>
  </si>
  <si>
    <t>JACILENE PLACIDO</t>
  </si>
  <si>
    <t>JOELMA JOSEFA</t>
  </si>
  <si>
    <t>110.789.714-98</t>
  </si>
  <si>
    <t>TOTAL A RECEBER</t>
  </si>
  <si>
    <t>ADIANTAMENTO</t>
  </si>
  <si>
    <t>DIAS TRABALHADOS</t>
  </si>
  <si>
    <t>R. SILVA ANDRADE</t>
  </si>
  <si>
    <t>FUNCIONARIOS AVULSOS</t>
  </si>
  <si>
    <t>PERICULOSIDADE</t>
  </si>
  <si>
    <t>JOSÉ ANDERSON SOARES DA SILVA</t>
  </si>
  <si>
    <t xml:space="preserve">AMANDA HERCULANO RODRIGUES </t>
  </si>
  <si>
    <t>090.215.534-22</t>
  </si>
  <si>
    <t>MARCELA GONÇALVES CERQUEIRA</t>
  </si>
  <si>
    <t>060432054-08</t>
  </si>
  <si>
    <t xml:space="preserve">MARCELA GONÇALVES CERQUEIRA </t>
  </si>
  <si>
    <t xml:space="preserve">OBSERVAÇÕES </t>
  </si>
  <si>
    <r>
      <t xml:space="preserve">                        </t>
    </r>
    <r>
      <rPr>
        <sz val="18"/>
        <color theme="1"/>
        <rFont val="Calibri"/>
        <family val="2"/>
        <scheme val="minor"/>
      </rPr>
      <t xml:space="preserve">     OBSERVAÇÃO</t>
    </r>
  </si>
  <si>
    <t xml:space="preserve">                                                    CNPJ : 33.574.333/0001-83 W DE FREITAS CHAGAS REPRESENTAÇÕES </t>
  </si>
  <si>
    <t xml:space="preserve">VITOR ROBERTO DAMIÃO DA SILVA </t>
  </si>
  <si>
    <t>130.876.684-00</t>
  </si>
  <si>
    <t>060.432.054-08</t>
  </si>
  <si>
    <t>ANA CLAUDIA DE FÁTIMA DOS P.B.LIMA</t>
  </si>
  <si>
    <t>EDNALDO JOVINO DA SILVA</t>
  </si>
  <si>
    <t xml:space="preserve">                         OBSERVAÇÃO </t>
  </si>
  <si>
    <t>LUANA APARECIDA DOS SANTOS VIANA</t>
  </si>
  <si>
    <t xml:space="preserve">GERLÂINE ACERBI DE SOUZA BASTOS </t>
  </si>
  <si>
    <t>JOSE WIILTON  PEREIRA</t>
  </si>
  <si>
    <t>081.768.674-62</t>
  </si>
  <si>
    <t>063.251.844-83</t>
  </si>
  <si>
    <t>jacileneplacido20166@gmail.com</t>
  </si>
  <si>
    <t>richard.rith28@gmail.com</t>
  </si>
  <si>
    <t>115.475.554.-16</t>
  </si>
  <si>
    <t>139.208.954-95</t>
  </si>
  <si>
    <t>105.107.764-85</t>
  </si>
  <si>
    <t>ADM</t>
  </si>
  <si>
    <t xml:space="preserve">ADEILSON GUEDES DE MENEZES </t>
  </si>
  <si>
    <t>adeilsonguedes1112@gmail.com</t>
  </si>
  <si>
    <t>867.124.114-91</t>
  </si>
  <si>
    <t>708.714.964-45</t>
  </si>
  <si>
    <t>708.846.494-23</t>
  </si>
  <si>
    <t>ANA BEATRIZ DE ANDRADE</t>
  </si>
  <si>
    <t>165.628.214-36</t>
  </si>
  <si>
    <t xml:space="preserve">NAZARE </t>
  </si>
  <si>
    <t>DEBORAH LAYSA DA SILVA</t>
  </si>
  <si>
    <t>ALEATÓRIA</t>
  </si>
  <si>
    <t>141.091.224-81</t>
  </si>
  <si>
    <t xml:space="preserve">ANA BEATRIZ DE ANDRADE </t>
  </si>
  <si>
    <t>FABIOLA CANDIDO DA SILVA</t>
  </si>
  <si>
    <t>CARLOS ANDERSON FERREIRA DA SILVA</t>
  </si>
  <si>
    <t>709.044.124-58</t>
  </si>
  <si>
    <t>W DE FREITAS CHAGAS REPRESENTAÇÕES</t>
  </si>
  <si>
    <t>081.497.994-78</t>
  </si>
  <si>
    <t>CAM/SL/CAR/NAZ</t>
  </si>
  <si>
    <t xml:space="preserve">02 SALARIO FAMILIA </t>
  </si>
  <si>
    <t>02 SALARIO FAMÍLIA</t>
  </si>
  <si>
    <t>vitorrobertodamiao@gmail.com</t>
  </si>
  <si>
    <t>MARIA ISABEL SANTOS SILVA</t>
  </si>
  <si>
    <t>KATIA REGINA JULIO ADOLFO</t>
  </si>
  <si>
    <t xml:space="preserve">INICIO 11/12 </t>
  </si>
  <si>
    <t>PIX</t>
  </si>
  <si>
    <t>BANCO</t>
  </si>
  <si>
    <t>CAIXA</t>
  </si>
  <si>
    <t>NU</t>
  </si>
  <si>
    <t>PAGBANK</t>
  </si>
  <si>
    <t>SANTANDER</t>
  </si>
  <si>
    <t>PICPAY</t>
  </si>
  <si>
    <t>BB</t>
  </si>
  <si>
    <t>INTER</t>
  </si>
  <si>
    <t>M.PAGO</t>
  </si>
  <si>
    <t>carlos.afs123@gmail.com</t>
  </si>
  <si>
    <t xml:space="preserve">LUIS HENRIQUE OLIVEIRA ANDRADE </t>
  </si>
  <si>
    <t>132.174.224-06</t>
  </si>
  <si>
    <t>CRISTOVÃO MENDES</t>
  </si>
  <si>
    <t>089.448.064-20</t>
  </si>
  <si>
    <t>01  SALARIO FAMÍLIA</t>
  </si>
  <si>
    <t>VT</t>
  </si>
  <si>
    <t>EDSON DORNELAS DE ARAUJO FILHO</t>
  </si>
  <si>
    <t>050.673.934-16</t>
  </si>
  <si>
    <t xml:space="preserve">IZABEL PRISCILA FERREIRA </t>
  </si>
  <si>
    <t>NEON</t>
  </si>
  <si>
    <t>01 SALARIO FAMILIA</t>
  </si>
  <si>
    <t>BRADESCO</t>
  </si>
  <si>
    <t>INICIO CONTRATO</t>
  </si>
  <si>
    <t xml:space="preserve">MICHELLINE MARINHO SOARES </t>
  </si>
  <si>
    <t>ISAIAS FERNADES DA SILVA</t>
  </si>
  <si>
    <t>CEF</t>
  </si>
  <si>
    <t>MERC.PAGO</t>
  </si>
  <si>
    <t>ESTAGIÁRIOS</t>
  </si>
  <si>
    <t>AJUDA DE CUSTO</t>
  </si>
  <si>
    <t>THAYZA GRAZIELLY CARVALHO DA SILVA</t>
  </si>
  <si>
    <t>169.852.974-04</t>
  </si>
  <si>
    <t xml:space="preserve">  INICIO 22/01/2026</t>
  </si>
  <si>
    <t xml:space="preserve"> INICIO 22/01/2026</t>
  </si>
  <si>
    <t>HELOISA VITORIA MARIA DA SILVA</t>
  </si>
  <si>
    <t>167.928.354-55</t>
  </si>
  <si>
    <t>NAZARE</t>
  </si>
  <si>
    <t>EMPRESTIMO CONSIG. 07/12 PARCELA</t>
  </si>
  <si>
    <t>EMPRESTIMO CONSIGNADO 01/ 06 PARCELA</t>
  </si>
  <si>
    <t>ITAU</t>
  </si>
  <si>
    <t xml:space="preserve">EMPRESTIMO CONSIG </t>
  </si>
  <si>
    <r>
      <t xml:space="preserve">FOLHA DE PAGAMENTO MENSAL                                           </t>
    </r>
    <r>
      <rPr>
        <b/>
        <sz val="28"/>
        <color theme="1"/>
        <rFont val="Calibri"/>
        <family val="2"/>
        <scheme val="minor"/>
      </rPr>
      <t>MARÇO  2026</t>
    </r>
  </si>
  <si>
    <t>VT / SALARIO FAMILIA</t>
  </si>
  <si>
    <t>DESCONTO $100  02/10 PARCELA</t>
  </si>
  <si>
    <t xml:space="preserve">ONLINE </t>
  </si>
  <si>
    <t xml:space="preserve">    02 SALARIO FAMÍLIA </t>
  </si>
  <si>
    <t>161.905.174-55</t>
  </si>
  <si>
    <t>VT/ SL FAMILIA</t>
  </si>
  <si>
    <t xml:space="preserve">DESCONTO $100 </t>
  </si>
  <si>
    <t>FOLHA DE PAGAMENTO - ADMINISTRATIVO 30/03</t>
  </si>
  <si>
    <t>FOLHA DE PAGAMENTO -VIGILANTES 30/03</t>
  </si>
  <si>
    <t>FOLHA DE PAGAMENTO - ONLINE 30/03</t>
  </si>
  <si>
    <t>FOLHA DE PAGAMENTO - SÃO LOURENÇO 30/03</t>
  </si>
  <si>
    <t>FOLHA DE PAGAMENTO - CARPINA 30/03</t>
  </si>
  <si>
    <t>FOLHA DE PAGAMENTO - NAZARÉ 30/03</t>
  </si>
  <si>
    <t>FOLHA DE PAGAMENTO - CAMARAGIBE 30/03</t>
  </si>
  <si>
    <t>DESCONTO $100 02/10 PARCELA</t>
  </si>
  <si>
    <t xml:space="preserve"> 02 SALARIO FAMÍLIA</t>
  </si>
  <si>
    <t xml:space="preserve">DESC. $100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</si>
</sst>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14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2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8">
    <xf numFmtId="0" fontId="0" fillId="0" borderId="0" xfId="0"/>
    <xf numFmtId="0" fontId="5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7" fillId="2" borderId="1" xfId="0" applyFont="1" applyFill="1" applyBorder="1" applyAlignment="1">
      <alignment horizontal="left"/>
    </xf>
    <xf numFmtId="14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1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44" fontId="7" fillId="2" borderId="1" xfId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4" borderId="1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/>
    </xf>
    <xf numFmtId="44" fontId="8" fillId="2" borderId="1" xfId="1" applyFont="1" applyFill="1" applyBorder="1" applyAlignment="1">
      <alignment horizontal="center"/>
    </xf>
    <xf numFmtId="0" fontId="8" fillId="2" borderId="1" xfId="1" applyNumberFormat="1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 wrapText="1"/>
    </xf>
    <xf numFmtId="44" fontId="2" fillId="4" borderId="20" xfId="1" applyFont="1" applyFill="1" applyBorder="1" applyAlignment="1">
      <alignment horizontal="center" vertical="center" wrapText="1"/>
    </xf>
    <xf numFmtId="44" fontId="2" fillId="4" borderId="1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44" fontId="0" fillId="0" borderId="1" xfId="0" applyNumberFormat="1" applyBorder="1"/>
    <xf numFmtId="44" fontId="0" fillId="0" borderId="1" xfId="0" applyNumberFormat="1" applyBorder="1" applyAlignment="1">
      <alignment horizontal="center"/>
    </xf>
    <xf numFmtId="0" fontId="0" fillId="4" borderId="0" xfId="0" applyFill="1"/>
    <xf numFmtId="0" fontId="8" fillId="0" borderId="1" xfId="0" applyFont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49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 vertical="center"/>
    </xf>
    <xf numFmtId="44" fontId="2" fillId="4" borderId="12" xfId="1" applyFont="1" applyFill="1" applyBorder="1" applyAlignment="1">
      <alignment horizontal="center" vertical="center"/>
    </xf>
    <xf numFmtId="0" fontId="5" fillId="2" borderId="0" xfId="0" applyFont="1" applyFill="1"/>
    <xf numFmtId="14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4" fontId="8" fillId="2" borderId="1" xfId="1" applyFont="1" applyFill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center"/>
    </xf>
    <xf numFmtId="0" fontId="19" fillId="0" borderId="0" xfId="0" applyFont="1"/>
    <xf numFmtId="0" fontId="13" fillId="2" borderId="1" xfId="0" applyFont="1" applyFill="1" applyBorder="1" applyAlignment="1">
      <alignment horizontal="center"/>
    </xf>
    <xf numFmtId="0" fontId="18" fillId="0" borderId="0" xfId="0" applyFont="1"/>
    <xf numFmtId="0" fontId="2" fillId="4" borderId="20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4" fontId="0" fillId="0" borderId="0" xfId="0" applyNumberFormat="1"/>
    <xf numFmtId="44" fontId="0" fillId="0" borderId="0" xfId="0" applyNumberFormat="1" applyAlignment="1">
      <alignment horizontal="center"/>
    </xf>
    <xf numFmtId="0" fontId="17" fillId="0" borderId="1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" fillId="4" borderId="20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11" xfId="0" applyFont="1" applyBorder="1" applyAlignment="1">
      <alignment vertical="center"/>
    </xf>
    <xf numFmtId="0" fontId="0" fillId="5" borderId="1" xfId="0" applyFill="1" applyBorder="1" applyAlignment="1">
      <alignment horizontal="left"/>
    </xf>
    <xf numFmtId="0" fontId="2" fillId="4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4" fontId="13" fillId="0" borderId="1" xfId="0" applyNumberFormat="1" applyFont="1" applyBorder="1"/>
    <xf numFmtId="2" fontId="8" fillId="2" borderId="1" xfId="1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44" fontId="23" fillId="0" borderId="1" xfId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3" fillId="0" borderId="0" xfId="0" applyFont="1"/>
    <xf numFmtId="0" fontId="27" fillId="2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/>
    </xf>
    <xf numFmtId="44" fontId="27" fillId="2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center"/>
    </xf>
    <xf numFmtId="14" fontId="23" fillId="2" borderId="1" xfId="0" applyNumberFormat="1" applyFont="1" applyFill="1" applyBorder="1" applyAlignment="1">
      <alignment horizontal="center"/>
    </xf>
    <xf numFmtId="44" fontId="23" fillId="2" borderId="1" xfId="1" applyFont="1" applyFill="1" applyBorder="1" applyAlignment="1">
      <alignment horizontal="center" vertical="center"/>
    </xf>
    <xf numFmtId="0" fontId="27" fillId="0" borderId="1" xfId="0" applyFont="1" applyBorder="1"/>
    <xf numFmtId="14" fontId="23" fillId="2" borderId="1" xfId="0" applyNumberFormat="1" applyFont="1" applyFill="1" applyBorder="1" applyAlignment="1">
      <alignment horizontal="center" vertical="center"/>
    </xf>
    <xf numFmtId="44" fontId="23" fillId="0" borderId="1" xfId="0" applyNumberFormat="1" applyFont="1" applyBorder="1"/>
    <xf numFmtId="0" fontId="23" fillId="4" borderId="17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/>
    <xf numFmtId="44" fontId="27" fillId="2" borderId="1" xfId="1" applyFont="1" applyFill="1" applyBorder="1"/>
    <xf numFmtId="0" fontId="23" fillId="2" borderId="1" xfId="0" applyFont="1" applyFill="1" applyBorder="1"/>
    <xf numFmtId="14" fontId="27" fillId="0" borderId="1" xfId="0" applyNumberFormat="1" applyFont="1" applyBorder="1" applyAlignment="1">
      <alignment horizontal="center"/>
    </xf>
    <xf numFmtId="44" fontId="2" fillId="4" borderId="23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0" fillId="3" borderId="0" xfId="0" applyFill="1"/>
    <xf numFmtId="0" fontId="8" fillId="0" borderId="1" xfId="0" applyFont="1" applyBorder="1"/>
    <xf numFmtId="44" fontId="8" fillId="0" borderId="1" xfId="0" applyNumberFormat="1" applyFont="1" applyBorder="1"/>
    <xf numFmtId="44" fontId="28" fillId="2" borderId="2" xfId="1" applyFont="1" applyFill="1" applyBorder="1"/>
    <xf numFmtId="44" fontId="27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44" fontId="27" fillId="0" borderId="1" xfId="0" applyNumberFormat="1" applyFont="1" applyBorder="1"/>
    <xf numFmtId="44" fontId="27" fillId="2" borderId="5" xfId="1" applyFont="1" applyFill="1" applyBorder="1" applyAlignment="1">
      <alignment horizontal="center" vertical="center"/>
    </xf>
    <xf numFmtId="0" fontId="0" fillId="0" borderId="25" xfId="0" applyBorder="1"/>
    <xf numFmtId="14" fontId="23" fillId="0" borderId="1" xfId="0" applyNumberFormat="1" applyFont="1" applyBorder="1"/>
    <xf numFmtId="0" fontId="19" fillId="0" borderId="1" xfId="0" applyFont="1" applyBorder="1"/>
    <xf numFmtId="44" fontId="24" fillId="3" borderId="21" xfId="0" applyNumberFormat="1" applyFont="1" applyFill="1" applyBorder="1" applyAlignment="1">
      <alignment horizontal="center" vertical="center"/>
    </xf>
    <xf numFmtId="44" fontId="26" fillId="4" borderId="0" xfId="1" applyFont="1" applyFill="1" applyBorder="1" applyAlignment="1">
      <alignment horizontal="center" vertical="center"/>
    </xf>
    <xf numFmtId="0" fontId="23" fillId="4" borderId="0" xfId="0" applyFont="1" applyFill="1"/>
    <xf numFmtId="44" fontId="29" fillId="4" borderId="0" xfId="1" applyFont="1" applyFill="1" applyBorder="1" applyAlignment="1">
      <alignment vertical="center"/>
    </xf>
    <xf numFmtId="0" fontId="22" fillId="2" borderId="1" xfId="0" applyFont="1" applyFill="1" applyBorder="1" applyAlignment="1">
      <alignment horizontal="center"/>
    </xf>
    <xf numFmtId="0" fontId="31" fillId="2" borderId="1" xfId="2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/>
    </xf>
    <xf numFmtId="0" fontId="27" fillId="2" borderId="1" xfId="0" applyFont="1" applyFill="1" applyBorder="1" applyAlignment="1">
      <alignment vertical="center"/>
    </xf>
    <xf numFmtId="0" fontId="23" fillId="2" borderId="0" xfId="0" applyFont="1" applyFill="1"/>
    <xf numFmtId="44" fontId="8" fillId="2" borderId="1" xfId="0" applyNumberFormat="1" applyFont="1" applyFill="1" applyBorder="1"/>
    <xf numFmtId="0" fontId="8" fillId="2" borderId="1" xfId="0" applyFont="1" applyFill="1" applyBorder="1"/>
    <xf numFmtId="0" fontId="31" fillId="2" borderId="1" xfId="2" applyFont="1" applyFill="1" applyBorder="1"/>
    <xf numFmtId="44" fontId="23" fillId="0" borderId="0" xfId="0" applyNumberFormat="1" applyFont="1"/>
    <xf numFmtId="0" fontId="0" fillId="4" borderId="2" xfId="0" applyFill="1" applyBorder="1"/>
    <xf numFmtId="44" fontId="26" fillId="4" borderId="21" xfId="1" applyFont="1" applyFill="1" applyBorder="1" applyAlignment="1">
      <alignment horizontal="center" vertical="center"/>
    </xf>
    <xf numFmtId="44" fontId="29" fillId="4" borderId="21" xfId="1" applyFont="1" applyFill="1" applyBorder="1" applyAlignment="1">
      <alignment vertical="center"/>
    </xf>
    <xf numFmtId="0" fontId="23" fillId="0" borderId="21" xfId="0" applyFont="1" applyBorder="1"/>
    <xf numFmtId="44" fontId="22" fillId="2" borderId="1" xfId="0" applyNumberFormat="1" applyFont="1" applyFill="1" applyBorder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4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44" fontId="26" fillId="4" borderId="0" xfId="1" applyFont="1" applyFill="1" applyBorder="1" applyAlignment="1">
      <alignment vertical="center"/>
    </xf>
    <xf numFmtId="0" fontId="2" fillId="4" borderId="26" xfId="0" applyFont="1" applyFill="1" applyBorder="1" applyAlignment="1">
      <alignment horizontal="center" vertical="center" wrapText="1"/>
    </xf>
    <xf numFmtId="0" fontId="18" fillId="3" borderId="3" xfId="0" applyFont="1" applyFill="1" applyBorder="1"/>
    <xf numFmtId="0" fontId="16" fillId="4" borderId="9" xfId="0" applyFont="1" applyFill="1" applyBorder="1" applyAlignment="1">
      <alignment vertical="center"/>
    </xf>
    <xf numFmtId="164" fontId="28" fillId="2" borderId="1" xfId="1" applyNumberFormat="1" applyFont="1" applyFill="1" applyBorder="1" applyAlignment="1">
      <alignment horizontal="center" vertical="center"/>
    </xf>
    <xf numFmtId="44" fontId="26" fillId="4" borderId="20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/>
    </xf>
    <xf numFmtId="0" fontId="27" fillId="2" borderId="5" xfId="0" applyFont="1" applyFill="1" applyBorder="1" applyAlignment="1">
      <alignment horizontal="center"/>
    </xf>
    <xf numFmtId="14" fontId="27" fillId="2" borderId="5" xfId="0" applyNumberFormat="1" applyFont="1" applyFill="1" applyBorder="1" applyAlignment="1">
      <alignment horizontal="center"/>
    </xf>
    <xf numFmtId="44" fontId="28" fillId="2" borderId="1" xfId="1" applyFont="1" applyFill="1" applyBorder="1" applyAlignment="1">
      <alignment horizontal="center" vertical="center"/>
    </xf>
    <xf numFmtId="44" fontId="8" fillId="2" borderId="2" xfId="1" applyFont="1" applyFill="1" applyBorder="1" applyAlignment="1">
      <alignment horizontal="center"/>
    </xf>
    <xf numFmtId="44" fontId="8" fillId="0" borderId="1" xfId="0" applyNumberFormat="1" applyFont="1" applyBorder="1" applyAlignment="1">
      <alignment horizontal="center"/>
    </xf>
    <xf numFmtId="44" fontId="8" fillId="2" borderId="1" xfId="0" applyNumberFormat="1" applyFont="1" applyFill="1" applyBorder="1" applyAlignment="1">
      <alignment horizontal="center"/>
    </xf>
    <xf numFmtId="44" fontId="28" fillId="2" borderId="5" xfId="1" applyFont="1" applyFill="1" applyBorder="1" applyAlignment="1">
      <alignment horizontal="center"/>
    </xf>
    <xf numFmtId="44" fontId="28" fillId="2" borderId="1" xfId="0" applyNumberFormat="1" applyFont="1" applyFill="1" applyBorder="1"/>
    <xf numFmtId="44" fontId="26" fillId="2" borderId="1" xfId="0" applyNumberFormat="1" applyFont="1" applyFill="1" applyBorder="1"/>
    <xf numFmtId="44" fontId="26" fillId="2" borderId="2" xfId="1" applyFont="1" applyFill="1" applyBorder="1" applyAlignment="1">
      <alignment horizontal="center" vertical="center"/>
    </xf>
    <xf numFmtId="44" fontId="28" fillId="2" borderId="1" xfId="0" applyNumberFormat="1" applyFont="1" applyFill="1" applyBorder="1" applyAlignment="1">
      <alignment horizontal="center"/>
    </xf>
    <xf numFmtId="44" fontId="20" fillId="0" borderId="1" xfId="0" applyNumberFormat="1" applyFont="1" applyBorder="1"/>
    <xf numFmtId="49" fontId="7" fillId="2" borderId="3" xfId="1" applyNumberFormat="1" applyFont="1" applyFill="1" applyBorder="1" applyAlignment="1">
      <alignment horizontal="center"/>
    </xf>
    <xf numFmtId="44" fontId="26" fillId="0" borderId="1" xfId="0" applyNumberFormat="1" applyFont="1" applyBorder="1"/>
    <xf numFmtId="0" fontId="7" fillId="0" borderId="1" xfId="0" applyFont="1" applyBorder="1"/>
    <xf numFmtId="44" fontId="7" fillId="0" borderId="1" xfId="0" applyNumberFormat="1" applyFont="1" applyBorder="1"/>
    <xf numFmtId="44" fontId="7" fillId="0" borderId="1" xfId="0" applyNumberFormat="1" applyFont="1" applyBorder="1" applyAlignment="1">
      <alignment horizontal="center"/>
    </xf>
    <xf numFmtId="0" fontId="7" fillId="0" borderId="1" xfId="1" applyNumberFormat="1" applyFont="1" applyBorder="1" applyAlignment="1">
      <alignment horizontal="center"/>
    </xf>
    <xf numFmtId="44" fontId="13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4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23" fillId="2" borderId="1" xfId="0" applyNumberFormat="1" applyFont="1" applyFill="1" applyBorder="1"/>
    <xf numFmtId="44" fontId="2" fillId="4" borderId="12" xfId="0" applyNumberFormat="1" applyFont="1" applyFill="1" applyBorder="1" applyAlignment="1">
      <alignment horizontal="center" vertical="center"/>
    </xf>
    <xf numFmtId="44" fontId="23" fillId="0" borderId="1" xfId="0" applyNumberFormat="1" applyFont="1" applyBorder="1" applyAlignment="1">
      <alignment horizontal="center"/>
    </xf>
    <xf numFmtId="44" fontId="0" fillId="0" borderId="25" xfId="0" applyNumberFormat="1" applyBorder="1"/>
    <xf numFmtId="44" fontId="23" fillId="0" borderId="2" xfId="0" applyNumberFormat="1" applyFont="1" applyBorder="1"/>
    <xf numFmtId="44" fontId="23" fillId="2" borderId="1" xfId="1" applyFont="1" applyFill="1" applyBorder="1"/>
    <xf numFmtId="44" fontId="23" fillId="2" borderId="1" xfId="0" applyNumberFormat="1" applyFont="1" applyFill="1" applyBorder="1"/>
    <xf numFmtId="2" fontId="23" fillId="2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44" fontId="29" fillId="4" borderId="1" xfId="1" applyFont="1" applyFill="1" applyBorder="1" applyAlignment="1">
      <alignment horizontal="right" vertical="center"/>
    </xf>
    <xf numFmtId="0" fontId="0" fillId="3" borderId="1" xfId="0" applyFill="1" applyBorder="1"/>
    <xf numFmtId="0" fontId="30" fillId="2" borderId="1" xfId="0" applyFont="1" applyFill="1" applyBorder="1" applyAlignment="1">
      <alignment horizontal="center"/>
    </xf>
    <xf numFmtId="44" fontId="29" fillId="4" borderId="27" xfId="1" applyFont="1" applyFill="1" applyBorder="1" applyAlignment="1">
      <alignment horizontal="right" vertical="center"/>
    </xf>
    <xf numFmtId="0" fontId="23" fillId="4" borderId="8" xfId="0" applyFont="1" applyFill="1" applyBorder="1"/>
    <xf numFmtId="44" fontId="28" fillId="0" borderId="1" xfId="0" applyNumberFormat="1" applyFont="1" applyBorder="1"/>
    <xf numFmtId="44" fontId="23" fillId="3" borderId="3" xfId="0" applyNumberFormat="1" applyFont="1" applyFill="1" applyBorder="1" applyAlignment="1">
      <alignment horizontal="center" vertical="center"/>
    </xf>
    <xf numFmtId="44" fontId="23" fillId="0" borderId="0" xfId="0" applyNumberFormat="1" applyFont="1" applyAlignment="1">
      <alignment horizontal="center"/>
    </xf>
    <xf numFmtId="0" fontId="25" fillId="2" borderId="5" xfId="0" applyFont="1" applyFill="1" applyBorder="1" applyAlignment="1">
      <alignment horizontal="center"/>
    </xf>
    <xf numFmtId="44" fontId="26" fillId="2" borderId="21" xfId="0" applyNumberFormat="1" applyFont="1" applyFill="1" applyBorder="1"/>
    <xf numFmtId="0" fontId="30" fillId="0" borderId="1" xfId="0" applyFont="1" applyBorder="1" applyAlignment="1">
      <alignment horizontal="center"/>
    </xf>
    <xf numFmtId="0" fontId="3" fillId="4" borderId="3" xfId="0" applyFont="1" applyFill="1" applyBorder="1"/>
    <xf numFmtId="14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/>
    </xf>
    <xf numFmtId="44" fontId="7" fillId="0" borderId="1" xfId="0" applyNumberFormat="1" applyFont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6" fillId="4" borderId="9" xfId="0" applyFont="1" applyFill="1" applyBorder="1" applyAlignment="1">
      <alignment horizontal="center" vertical="center"/>
    </xf>
    <xf numFmtId="0" fontId="12" fillId="2" borderId="1" xfId="2" applyNumberFormat="1" applyFill="1" applyBorder="1" applyAlignment="1">
      <alignment horizontal="center"/>
    </xf>
    <xf numFmtId="0" fontId="12" fillId="0" borderId="3" xfId="2" applyNumberFormat="1" applyBorder="1" applyAlignment="1">
      <alignment horizontal="center"/>
    </xf>
    <xf numFmtId="44" fontId="3" fillId="4" borderId="0" xfId="1" applyFont="1" applyFill="1" applyBorder="1" applyAlignment="1">
      <alignment horizontal="center" vertical="center"/>
    </xf>
    <xf numFmtId="164" fontId="23" fillId="4" borderId="0" xfId="1" applyNumberFormat="1" applyFont="1" applyFill="1" applyBorder="1" applyAlignment="1">
      <alignment horizontal="center" vertical="center"/>
    </xf>
    <xf numFmtId="44" fontId="1" fillId="0" borderId="0" xfId="1" applyFont="1"/>
    <xf numFmtId="0" fontId="30" fillId="0" borderId="1" xfId="0" applyFont="1" applyBorder="1"/>
    <xf numFmtId="0" fontId="7" fillId="2" borderId="1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horizontal="center" vertical="center"/>
    </xf>
    <xf numFmtId="44" fontId="2" fillId="4" borderId="0" xfId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44" fontId="20" fillId="0" borderId="1" xfId="0" applyNumberFormat="1" applyFont="1" applyBorder="1" applyAlignment="1">
      <alignment horizontal="center"/>
    </xf>
    <xf numFmtId="44" fontId="8" fillId="2" borderId="2" xfId="0" applyNumberFormat="1" applyFont="1" applyFill="1" applyBorder="1" applyAlignment="1">
      <alignment horizontal="center"/>
    </xf>
    <xf numFmtId="44" fontId="13" fillId="2" borderId="1" xfId="0" applyNumberFormat="1" applyFont="1" applyFill="1" applyBorder="1"/>
    <xf numFmtId="0" fontId="25" fillId="2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14" fontId="27" fillId="2" borderId="1" xfId="0" applyNumberFormat="1" applyFont="1" applyFill="1" applyBorder="1"/>
    <xf numFmtId="0" fontId="8" fillId="4" borderId="7" xfId="0" applyFont="1" applyFill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/>
    </xf>
    <xf numFmtId="164" fontId="8" fillId="2" borderId="24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/>
    </xf>
    <xf numFmtId="0" fontId="8" fillId="0" borderId="1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4" borderId="0" xfId="0" applyFont="1" applyFill="1"/>
    <xf numFmtId="44" fontId="26" fillId="0" borderId="0" xfId="0" applyNumberFormat="1" applyFont="1"/>
    <xf numFmtId="0" fontId="23" fillId="4" borderId="30" xfId="0" applyFont="1" applyFill="1" applyBorder="1"/>
    <xf numFmtId="0" fontId="7" fillId="7" borderId="20" xfId="1" applyNumberFormat="1" applyFont="1" applyFill="1" applyBorder="1" applyAlignment="1">
      <alignment horizontal="center" vertical="center" wrapText="1"/>
    </xf>
    <xf numFmtId="44" fontId="20" fillId="0" borderId="1" xfId="0" applyNumberFormat="1" applyFont="1" applyBorder="1" applyAlignment="1">
      <alignment vertical="center" wrapText="1"/>
    </xf>
    <xf numFmtId="44" fontId="23" fillId="0" borderId="2" xfId="1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44" fontId="26" fillId="2" borderId="4" xfId="0" applyNumberFormat="1" applyFont="1" applyFill="1" applyBorder="1"/>
    <xf numFmtId="0" fontId="23" fillId="2" borderId="22" xfId="0" applyFont="1" applyFill="1" applyBorder="1" applyAlignment="1">
      <alignment horizontal="center"/>
    </xf>
    <xf numFmtId="44" fontId="23" fillId="0" borderId="4" xfId="0" applyNumberFormat="1" applyFont="1" applyBorder="1" applyAlignment="1">
      <alignment horizontal="center"/>
    </xf>
    <xf numFmtId="44" fontId="7" fillId="4" borderId="12" xfId="0" applyNumberFormat="1" applyFont="1" applyFill="1" applyBorder="1" applyAlignment="1">
      <alignment horizontal="center" vertical="center"/>
    </xf>
    <xf numFmtId="44" fontId="23" fillId="2" borderId="24" xfId="1" applyFont="1" applyFill="1" applyBorder="1" applyAlignment="1">
      <alignment horizontal="center"/>
    </xf>
    <xf numFmtId="44" fontId="7" fillId="0" borderId="0" xfId="0" applyNumberFormat="1" applyFont="1"/>
    <xf numFmtId="44" fontId="7" fillId="4" borderId="0" xfId="1" applyFont="1" applyFill="1" applyBorder="1" applyAlignment="1">
      <alignment horizontal="center" vertical="center"/>
    </xf>
    <xf numFmtId="44" fontId="7" fillId="0" borderId="25" xfId="0" applyNumberFormat="1" applyFont="1" applyBorder="1"/>
    <xf numFmtId="0" fontId="18" fillId="3" borderId="1" xfId="0" applyFont="1" applyFill="1" applyBorder="1" applyAlignment="1">
      <alignment horizontal="center" vertical="center" wrapText="1"/>
    </xf>
    <xf numFmtId="44" fontId="18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44" fontId="16" fillId="3" borderId="0" xfId="0" applyNumberFormat="1" applyFont="1" applyFill="1" applyAlignment="1">
      <alignment horizontal="left"/>
    </xf>
    <xf numFmtId="44" fontId="0" fillId="3" borderId="0" xfId="0" applyNumberFormat="1" applyFill="1" applyAlignment="1">
      <alignment horizontal="left"/>
    </xf>
    <xf numFmtId="0" fontId="26" fillId="4" borderId="12" xfId="0" applyFont="1" applyFill="1" applyBorder="1" applyAlignment="1">
      <alignment horizontal="center" vertical="center" wrapText="1"/>
    </xf>
    <xf numFmtId="44" fontId="2" fillId="4" borderId="20" xfId="0" applyNumberFormat="1" applyFont="1" applyFill="1" applyBorder="1" applyAlignment="1">
      <alignment horizontal="center" vertical="center"/>
    </xf>
    <xf numFmtId="44" fontId="26" fillId="2" borderId="5" xfId="1" applyFont="1" applyFill="1" applyBorder="1" applyAlignment="1">
      <alignment horizontal="center"/>
    </xf>
    <xf numFmtId="44" fontId="18" fillId="0" borderId="0" xfId="0" applyNumberFormat="1" applyFont="1"/>
    <xf numFmtId="44" fontId="26" fillId="4" borderId="29" xfId="1" applyFont="1" applyFill="1" applyBorder="1" applyAlignment="1">
      <alignment horizontal="center" vertical="center"/>
    </xf>
    <xf numFmtId="44" fontId="26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0" borderId="1" xfId="0" applyBorder="1" applyAlignment="1">
      <alignment vertical="center"/>
    </xf>
    <xf numFmtId="0" fontId="18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44" fontId="7" fillId="0" borderId="0" xfId="1" applyFont="1" applyAlignment="1">
      <alignment horizontal="center"/>
    </xf>
    <xf numFmtId="0" fontId="2" fillId="0" borderId="0" xfId="0" applyFont="1"/>
    <xf numFmtId="0" fontId="2" fillId="4" borderId="1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4" fontId="16" fillId="0" borderId="1" xfId="0" applyNumberFormat="1" applyFont="1" applyBorder="1"/>
    <xf numFmtId="44" fontId="16" fillId="0" borderId="1" xfId="0" applyNumberFormat="1" applyFont="1" applyBorder="1" applyAlignment="1">
      <alignment vertical="center" wrapText="1"/>
    </xf>
    <xf numFmtId="0" fontId="11" fillId="0" borderId="1" xfId="0" applyFont="1" applyBorder="1"/>
    <xf numFmtId="44" fontId="2" fillId="4" borderId="12" xfId="1" applyFont="1" applyFill="1" applyBorder="1" applyAlignment="1">
      <alignment horizontal="center" vertical="center" wrapText="1"/>
    </xf>
    <xf numFmtId="44" fontId="8" fillId="2" borderId="1" xfId="1" applyFont="1" applyFill="1" applyBorder="1" applyAlignment="1">
      <alignment horizontal="right"/>
    </xf>
    <xf numFmtId="44" fontId="7" fillId="2" borderId="1" xfId="1" applyFont="1" applyFill="1" applyBorder="1" applyAlignment="1">
      <alignment horizontal="right"/>
    </xf>
    <xf numFmtId="44" fontId="8" fillId="2" borderId="1" xfId="1" applyFont="1" applyFill="1" applyBorder="1"/>
    <xf numFmtId="44" fontId="8" fillId="2" borderId="1" xfId="1" applyFont="1" applyFill="1" applyBorder="1" applyAlignment="1">
      <alignment horizontal="right" vertical="center"/>
    </xf>
    <xf numFmtId="44" fontId="7" fillId="2" borderId="1" xfId="1" applyFont="1" applyFill="1" applyBorder="1" applyAlignment="1">
      <alignment horizontal="right" vertical="center"/>
    </xf>
    <xf numFmtId="44" fontId="4" fillId="3" borderId="21" xfId="0" applyNumberFormat="1" applyFont="1" applyFill="1" applyBorder="1" applyAlignment="1">
      <alignment horizontal="center" vertical="center"/>
    </xf>
    <xf numFmtId="44" fontId="2" fillId="4" borderId="22" xfId="1" applyFont="1" applyFill="1" applyBorder="1" applyAlignment="1">
      <alignment horizontal="center" vertical="center" wrapText="1"/>
    </xf>
    <xf numFmtId="44" fontId="7" fillId="2" borderId="1" xfId="1" applyFont="1" applyFill="1" applyBorder="1"/>
    <xf numFmtId="44" fontId="14" fillId="2" borderId="1" xfId="1" applyFont="1" applyFill="1" applyBorder="1"/>
    <xf numFmtId="44" fontId="14" fillId="2" borderId="1" xfId="1" applyFont="1" applyFill="1" applyBorder="1" applyAlignment="1">
      <alignment horizontal="center"/>
    </xf>
    <xf numFmtId="44" fontId="4" fillId="4" borderId="0" xfId="1" applyFont="1" applyFill="1" applyBorder="1" applyAlignment="1">
      <alignment horizontal="center" vertical="center"/>
    </xf>
    <xf numFmtId="44" fontId="3" fillId="3" borderId="21" xfId="1" applyFont="1" applyFill="1" applyBorder="1" applyAlignment="1">
      <alignment horizontal="center" vertical="center"/>
    </xf>
    <xf numFmtId="44" fontId="0" fillId="0" borderId="0" xfId="1" applyFont="1"/>
    <xf numFmtId="44" fontId="26" fillId="4" borderId="20" xfId="1" applyFont="1" applyFill="1" applyBorder="1" applyAlignment="1">
      <alignment horizontal="center" vertical="center" wrapText="1"/>
    </xf>
    <xf numFmtId="44" fontId="26" fillId="2" borderId="1" xfId="1" applyFont="1" applyFill="1" applyBorder="1" applyAlignment="1">
      <alignment horizontal="right" vertical="center"/>
    </xf>
    <xf numFmtId="44" fontId="28" fillId="2" borderId="1" xfId="1" applyFont="1" applyFill="1" applyBorder="1" applyAlignment="1">
      <alignment horizontal="center"/>
    </xf>
    <xf numFmtId="44" fontId="28" fillId="2" borderId="1" xfId="1" applyFont="1" applyFill="1" applyBorder="1"/>
    <xf numFmtId="44" fontId="28" fillId="2" borderId="1" xfId="1" applyFont="1" applyFill="1" applyBorder="1" applyAlignment="1">
      <alignment horizontal="right" vertical="center"/>
    </xf>
    <xf numFmtId="44" fontId="26" fillId="2" borderId="1" xfId="1" applyFont="1" applyFill="1" applyBorder="1"/>
    <xf numFmtId="0" fontId="9" fillId="2" borderId="1" xfId="0" applyFont="1" applyFill="1" applyBorder="1"/>
    <xf numFmtId="0" fontId="16" fillId="3" borderId="0" xfId="0" applyFont="1" applyFill="1" applyAlignment="1">
      <alignment horizontal="center"/>
    </xf>
    <xf numFmtId="44" fontId="16" fillId="3" borderId="0" xfId="0" applyNumberFormat="1" applyFont="1" applyFill="1"/>
    <xf numFmtId="44" fontId="0" fillId="0" borderId="2" xfId="0" applyNumberFormat="1" applyBorder="1" applyAlignment="1">
      <alignment vertical="center" wrapText="1"/>
    </xf>
    <xf numFmtId="4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vertical="center"/>
    </xf>
    <xf numFmtId="44" fontId="2" fillId="4" borderId="1" xfId="1" applyFont="1" applyFill="1" applyBorder="1" applyAlignment="1">
      <alignment horizontal="center" vertical="center" wrapText="1"/>
    </xf>
    <xf numFmtId="44" fontId="26" fillId="0" borderId="1" xfId="0" applyNumberFormat="1" applyFont="1" applyBorder="1" applyAlignment="1">
      <alignment vertical="center"/>
    </xf>
    <xf numFmtId="0" fontId="13" fillId="9" borderId="1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44" fontId="16" fillId="4" borderId="0" xfId="0" applyNumberFormat="1" applyFont="1" applyFill="1" applyAlignment="1">
      <alignment horizontal="center"/>
    </xf>
    <xf numFmtId="0" fontId="32" fillId="0" borderId="3" xfId="2" applyNumberFormat="1" applyFont="1" applyBorder="1" applyAlignment="1">
      <alignment horizontal="center"/>
    </xf>
    <xf numFmtId="0" fontId="16" fillId="3" borderId="1" xfId="0" applyFont="1" applyFill="1" applyBorder="1" applyAlignment="1">
      <alignment vertical="center"/>
    </xf>
    <xf numFmtId="0" fontId="32" fillId="0" borderId="1" xfId="2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4" fontId="17" fillId="0" borderId="1" xfId="0" applyNumberFormat="1" applyFont="1" applyBorder="1" applyAlignment="1">
      <alignment horizontal="center"/>
    </xf>
    <xf numFmtId="44" fontId="33" fillId="0" borderId="1" xfId="0" applyNumberFormat="1" applyFont="1" applyBorder="1" applyAlignment="1">
      <alignment vertical="center" wrapText="1"/>
    </xf>
    <xf numFmtId="0" fontId="30" fillId="9" borderId="1" xfId="0" applyFont="1" applyFill="1" applyBorder="1" applyAlignment="1">
      <alignment horizontal="center"/>
    </xf>
    <xf numFmtId="0" fontId="34" fillId="2" borderId="1" xfId="2" applyNumberFormat="1" applyFont="1" applyFill="1" applyBorder="1" applyAlignment="1">
      <alignment horizontal="center"/>
    </xf>
    <xf numFmtId="0" fontId="23" fillId="2" borderId="1" xfId="1" applyNumberFormat="1" applyFont="1" applyFill="1" applyBorder="1" applyAlignment="1">
      <alignment horizontal="center"/>
    </xf>
    <xf numFmtId="0" fontId="27" fillId="2" borderId="1" xfId="1" applyNumberFormat="1" applyFont="1" applyFill="1" applyBorder="1" applyAlignment="1">
      <alignment horizontal="center"/>
    </xf>
    <xf numFmtId="0" fontId="13" fillId="2" borderId="1" xfId="0" applyFont="1" applyFill="1" applyBorder="1"/>
    <xf numFmtId="0" fontId="11" fillId="2" borderId="1" xfId="0" applyFont="1" applyFill="1" applyBorder="1"/>
    <xf numFmtId="44" fontId="7" fillId="2" borderId="1" xfId="0" applyNumberFormat="1" applyFont="1" applyFill="1" applyBorder="1"/>
    <xf numFmtId="0" fontId="35" fillId="2" borderId="1" xfId="2" applyFont="1" applyFill="1" applyBorder="1"/>
    <xf numFmtId="8" fontId="11" fillId="2" borderId="3" xfId="0" applyNumberFormat="1" applyFont="1" applyFill="1" applyBorder="1" applyAlignment="1">
      <alignment horizontal="center"/>
    </xf>
    <xf numFmtId="0" fontId="19" fillId="0" borderId="25" xfId="0" applyFont="1" applyBorder="1"/>
    <xf numFmtId="0" fontId="0" fillId="0" borderId="25" xfId="0" applyBorder="1" applyAlignment="1">
      <alignment horizontal="center"/>
    </xf>
    <xf numFmtId="0" fontId="3" fillId="4" borderId="2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5" fillId="2" borderId="1" xfId="2" applyNumberFormat="1" applyFont="1" applyFill="1" applyBorder="1" applyAlignment="1">
      <alignment horizontal="center"/>
    </xf>
    <xf numFmtId="0" fontId="27" fillId="2" borderId="1" xfId="1" applyNumberFormat="1" applyFont="1" applyFill="1" applyBorder="1" applyAlignment="1">
      <alignment horizontal="center" vertical="center"/>
    </xf>
    <xf numFmtId="0" fontId="23" fillId="0" borderId="1" xfId="1" applyNumberFormat="1" applyFont="1" applyBorder="1" applyAlignment="1">
      <alignment horizontal="center"/>
    </xf>
    <xf numFmtId="0" fontId="17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0" fontId="0" fillId="2" borderId="0" xfId="0" applyFill="1" applyAlignment="1">
      <alignment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44" fontId="27" fillId="0" borderId="2" xfId="0" applyNumberFormat="1" applyFont="1" applyBorder="1"/>
    <xf numFmtId="0" fontId="27" fillId="0" borderId="1" xfId="1" applyNumberFormat="1" applyFont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44" fontId="26" fillId="3" borderId="0" xfId="0" applyNumberFormat="1" applyFont="1" applyFill="1"/>
    <xf numFmtId="44" fontId="26" fillId="4" borderId="0" xfId="1" applyFont="1" applyFill="1" applyBorder="1"/>
    <xf numFmtId="0" fontId="0" fillId="8" borderId="1" xfId="0" applyFill="1" applyBorder="1" applyAlignment="1">
      <alignment horizontal="center"/>
    </xf>
    <xf numFmtId="44" fontId="28" fillId="9" borderId="1" xfId="1" applyFont="1" applyFill="1" applyBorder="1"/>
    <xf numFmtId="49" fontId="23" fillId="2" borderId="1" xfId="1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3" borderId="17" xfId="0" applyFont="1" applyFill="1" applyBorder="1" applyAlignment="1">
      <alignment horizontal="center" vertical="center"/>
    </xf>
    <xf numFmtId="44" fontId="26" fillId="4" borderId="1" xfId="1" applyFont="1" applyFill="1" applyBorder="1" applyAlignment="1">
      <alignment horizontal="center" vertical="center"/>
    </xf>
    <xf numFmtId="44" fontId="26" fillId="4" borderId="28" xfId="1" applyFont="1" applyFill="1" applyBorder="1" applyAlignment="1">
      <alignment horizontal="center" vertical="center"/>
    </xf>
    <xf numFmtId="44" fontId="26" fillId="4" borderId="29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44" fontId="26" fillId="4" borderId="6" xfId="1" applyFont="1" applyFill="1" applyBorder="1" applyAlignment="1">
      <alignment horizontal="center" vertical="center"/>
    </xf>
    <xf numFmtId="44" fontId="26" fillId="4" borderId="7" xfId="1" applyFont="1" applyFill="1" applyBorder="1" applyAlignment="1">
      <alignment horizontal="center" vertical="center"/>
    </xf>
  </cellXfs>
  <cellStyles count="5">
    <cellStyle name="Currency" xfId="1" builtinId="4"/>
    <cellStyle name="Currency 2" xfId="3" xr:uid="{6B3D6FFE-CC3D-4DCC-983C-9B8098AAFB51}"/>
    <cellStyle name="Currency 3" xfId="4" xr:uid="{6F8B68CB-3E5C-4A3A-B22A-5700E9F62ED7}"/>
    <cellStyle name="Hyperlink" xfId="2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eilsonguedes1112@gmail.com" TargetMode="External"/><Relationship Id="rId2" Type="http://schemas.openxmlformats.org/officeDocument/2006/relationships/hyperlink" Target="mailto:vitorrobertodamiao@gmail.com" TargetMode="External"/><Relationship Id="rId1" Type="http://schemas.openxmlformats.org/officeDocument/2006/relationships/hyperlink" Target="mailto:jacileneplacido20166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chard.rith2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ichard.rith28@gmail.com" TargetMode="External"/><Relationship Id="rId1" Type="http://schemas.openxmlformats.org/officeDocument/2006/relationships/hyperlink" Target="mailto:adeilsonguedes111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vitorrobertodamiao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carlos.afs123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acileneplacido20166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C1FE-7D14-4A2A-9D82-B4227CAD021E}">
  <sheetPr>
    <pageSetUpPr fitToPage="1"/>
  </sheetPr>
  <dimension ref="A1:M51"/>
  <sheetViews>
    <sheetView tabSelected="1" view="pageBreakPreview" topLeftCell="A27" zoomScale="67" zoomScaleNormal="100" zoomScaleSheetLayoutView="67" workbookViewId="0">
      <selection activeCell="K40" sqref="K40"/>
    </sheetView>
  </sheetViews>
  <sheetFormatPr defaultColWidth="8.85546875" defaultRowHeight="26.25" x14ac:dyDescent="0.4"/>
  <cols>
    <col min="1" max="1" width="7.28515625" customWidth="1"/>
    <col min="2" max="2" width="63.140625" customWidth="1"/>
    <col min="3" max="3" width="14.85546875" hidden="1" customWidth="1"/>
    <col min="4" max="4" width="18.28515625" hidden="1" customWidth="1"/>
    <col min="5" max="5" width="37.28515625" hidden="1" customWidth="1"/>
    <col min="6" max="6" width="22.28515625" style="17" customWidth="1"/>
    <col min="7" max="7" width="25.28515625" style="57" customWidth="1"/>
    <col min="8" max="8" width="25.140625" style="26" customWidth="1"/>
    <col min="9" max="9" width="19.140625" style="58" customWidth="1"/>
    <col min="10" max="10" width="39.28515625" style="206" customWidth="1"/>
    <col min="11" max="11" width="25" style="133" customWidth="1"/>
    <col min="12" max="12" width="72.28515625" style="17" customWidth="1"/>
  </cols>
  <sheetData>
    <row r="1" spans="1:13" ht="63.6" customHeight="1" thickBot="1" x14ac:dyDescent="0.3">
      <c r="A1" s="351" t="s">
        <v>136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3"/>
    </row>
    <row r="2" spans="1:13" ht="40.5" customHeight="1" thickBot="1" x14ac:dyDescent="0.3">
      <c r="A2" s="354" t="s">
        <v>0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6"/>
    </row>
    <row r="3" spans="1:13" s="5" customFormat="1" ht="36.75" customHeight="1" x14ac:dyDescent="0.25">
      <c r="A3" s="31" t="s">
        <v>1</v>
      </c>
      <c r="B3" s="25" t="s">
        <v>2</v>
      </c>
      <c r="C3" s="24" t="s">
        <v>3</v>
      </c>
      <c r="D3" s="24" t="s">
        <v>4</v>
      </c>
      <c r="E3" s="24" t="s">
        <v>5</v>
      </c>
      <c r="F3" s="24" t="s">
        <v>6</v>
      </c>
      <c r="G3" s="281" t="s">
        <v>7</v>
      </c>
      <c r="H3" s="32" t="s">
        <v>44</v>
      </c>
      <c r="I3" s="32" t="s">
        <v>27</v>
      </c>
      <c r="J3" s="241" t="s">
        <v>18</v>
      </c>
      <c r="K3" s="295">
        <v>0</v>
      </c>
      <c r="L3" s="33" t="s">
        <v>19</v>
      </c>
    </row>
    <row r="4" spans="1:13" s="45" customFormat="1" ht="25.5" customHeight="1" x14ac:dyDescent="0.35">
      <c r="A4" s="20">
        <v>1</v>
      </c>
      <c r="B4" s="125" t="s">
        <v>57</v>
      </c>
      <c r="C4" s="126"/>
      <c r="D4" s="55"/>
      <c r="E4" s="28"/>
      <c r="F4" s="55" t="s">
        <v>9</v>
      </c>
      <c r="G4" s="282">
        <v>1840.37</v>
      </c>
      <c r="H4" s="29" t="s">
        <v>28</v>
      </c>
      <c r="I4" s="29">
        <v>0</v>
      </c>
      <c r="J4" s="124" t="s">
        <v>64</v>
      </c>
      <c r="K4" s="152">
        <v>691.22</v>
      </c>
      <c r="L4" s="310" t="s">
        <v>133</v>
      </c>
      <c r="M4" s="329"/>
    </row>
    <row r="5" spans="1:13" ht="25.5" customHeight="1" x14ac:dyDescent="0.4">
      <c r="A5" s="39">
        <v>2</v>
      </c>
      <c r="B5" s="131" t="s">
        <v>83</v>
      </c>
      <c r="C5" s="131"/>
      <c r="D5" s="131"/>
      <c r="E5" s="131"/>
      <c r="F5" s="20" t="s">
        <v>9</v>
      </c>
      <c r="G5" s="130">
        <v>1621</v>
      </c>
      <c r="H5" s="20" t="s">
        <v>28</v>
      </c>
      <c r="I5" s="130">
        <v>0</v>
      </c>
      <c r="J5" s="20">
        <v>81997351613</v>
      </c>
      <c r="K5" s="157">
        <v>602.16999999999996</v>
      </c>
      <c r="L5" s="51" t="s">
        <v>111</v>
      </c>
    </row>
    <row r="6" spans="1:13" ht="25.5" customHeight="1" x14ac:dyDescent="0.4">
      <c r="A6" s="20">
        <v>3</v>
      </c>
      <c r="B6" s="164" t="s">
        <v>84</v>
      </c>
      <c r="C6" s="18"/>
      <c r="D6" s="18"/>
      <c r="E6" s="18"/>
      <c r="F6" s="4" t="s">
        <v>9</v>
      </c>
      <c r="G6" s="165">
        <v>1621</v>
      </c>
      <c r="H6" s="4" t="s">
        <v>28</v>
      </c>
      <c r="I6" s="37">
        <v>0</v>
      </c>
      <c r="J6" s="4">
        <v>81988745478</v>
      </c>
      <c r="K6" s="157">
        <v>834.51</v>
      </c>
      <c r="L6" s="73" t="s">
        <v>89</v>
      </c>
    </row>
    <row r="7" spans="1:13" s="2" customFormat="1" ht="25.5" customHeight="1" x14ac:dyDescent="0.4">
      <c r="A7" s="39">
        <v>4</v>
      </c>
      <c r="B7" s="108" t="s">
        <v>92</v>
      </c>
      <c r="C7" s="108"/>
      <c r="D7" s="108"/>
      <c r="E7" s="108"/>
      <c r="F7" s="39" t="s">
        <v>9</v>
      </c>
      <c r="G7" s="109">
        <v>1621</v>
      </c>
      <c r="H7" s="39" t="s">
        <v>28</v>
      </c>
      <c r="I7" s="154">
        <v>0</v>
      </c>
      <c r="J7" s="236">
        <v>81993993133</v>
      </c>
      <c r="K7" s="186">
        <v>622.42999999999995</v>
      </c>
      <c r="L7" s="73" t="s">
        <v>137</v>
      </c>
    </row>
    <row r="8" spans="1:13" s="1" customFormat="1" ht="25.5" customHeight="1" x14ac:dyDescent="0.4">
      <c r="A8" s="20">
        <v>5</v>
      </c>
      <c r="B8" s="325" t="s">
        <v>119</v>
      </c>
      <c r="C8" s="326"/>
      <c r="D8" s="326"/>
      <c r="E8" s="326"/>
      <c r="F8" s="12" t="s">
        <v>9</v>
      </c>
      <c r="G8" s="327">
        <v>1621</v>
      </c>
      <c r="H8" s="12" t="s">
        <v>28</v>
      </c>
      <c r="I8" s="327">
        <v>0</v>
      </c>
      <c r="J8" s="20">
        <v>12216055425</v>
      </c>
      <c r="K8" s="158">
        <v>810.5</v>
      </c>
      <c r="L8" s="51" t="s">
        <v>127</v>
      </c>
    </row>
    <row r="9" spans="1:13" ht="25.5" customHeight="1" x14ac:dyDescent="0.4">
      <c r="A9" s="39">
        <v>6</v>
      </c>
      <c r="B9" s="72" t="s">
        <v>120</v>
      </c>
      <c r="C9" s="280"/>
      <c r="D9" s="280"/>
      <c r="E9" s="280"/>
      <c r="F9" s="4" t="s">
        <v>9</v>
      </c>
      <c r="G9" s="165">
        <v>1621</v>
      </c>
      <c r="H9" s="4" t="s">
        <v>28</v>
      </c>
      <c r="I9" s="165">
        <v>0</v>
      </c>
      <c r="J9" s="39">
        <v>81989666189</v>
      </c>
      <c r="K9" s="158">
        <v>810.5</v>
      </c>
      <c r="L9" s="51" t="s">
        <v>128</v>
      </c>
    </row>
    <row r="10" spans="1:13" ht="23.25" customHeight="1" x14ac:dyDescent="0.4">
      <c r="A10" s="20">
        <v>7</v>
      </c>
      <c r="B10" s="72" t="s">
        <v>125</v>
      </c>
      <c r="C10" s="280"/>
      <c r="D10" s="280"/>
      <c r="E10" s="280"/>
      <c r="F10" s="39" t="s">
        <v>9</v>
      </c>
      <c r="G10" s="109">
        <v>1621</v>
      </c>
      <c r="H10" s="39" t="s">
        <v>28</v>
      </c>
      <c r="I10" s="109">
        <v>0</v>
      </c>
      <c r="J10" s="39" t="s">
        <v>126</v>
      </c>
      <c r="K10" s="186">
        <v>810.5</v>
      </c>
      <c r="L10" s="51" t="s">
        <v>128</v>
      </c>
    </row>
    <row r="11" spans="1:13" s="45" customFormat="1" ht="25.5" customHeight="1" x14ac:dyDescent="0.25"/>
    <row r="12" spans="1:13" s="45" customFormat="1" ht="24.75" customHeight="1" x14ac:dyDescent="0.4">
      <c r="A12" s="20">
        <v>8</v>
      </c>
      <c r="B12" s="28" t="s">
        <v>50</v>
      </c>
      <c r="C12" s="40"/>
      <c r="D12" s="41"/>
      <c r="E12" s="42"/>
      <c r="F12" s="20" t="s">
        <v>70</v>
      </c>
      <c r="G12" s="284">
        <v>3000</v>
      </c>
      <c r="H12" s="29" t="s">
        <v>28</v>
      </c>
      <c r="I12" s="290">
        <v>0</v>
      </c>
      <c r="J12" s="75" t="s">
        <v>56</v>
      </c>
      <c r="K12" s="297">
        <v>1500</v>
      </c>
      <c r="L12" s="51"/>
    </row>
    <row r="13" spans="1:13" s="2" customFormat="1" ht="25.5" customHeight="1" x14ac:dyDescent="0.4">
      <c r="A13" s="39">
        <v>9</v>
      </c>
      <c r="B13" s="131" t="s">
        <v>106</v>
      </c>
      <c r="C13" s="131"/>
      <c r="D13" s="131"/>
      <c r="E13" s="131"/>
      <c r="F13" s="20" t="s">
        <v>70</v>
      </c>
      <c r="G13" s="130">
        <v>1300</v>
      </c>
      <c r="H13" s="20" t="s">
        <v>28</v>
      </c>
      <c r="I13" s="130">
        <v>0</v>
      </c>
      <c r="J13" s="20" t="s">
        <v>107</v>
      </c>
      <c r="K13" s="157">
        <v>650</v>
      </c>
      <c r="L13" s="123"/>
    </row>
    <row r="14" spans="1:13" s="1" customFormat="1" ht="23.25" customHeight="1" x14ac:dyDescent="0.4">
      <c r="A14" s="39">
        <v>10</v>
      </c>
      <c r="B14" s="106" t="s">
        <v>10</v>
      </c>
      <c r="C14" s="40"/>
      <c r="D14" s="41"/>
      <c r="E14" s="42"/>
      <c r="F14" s="20" t="s">
        <v>70</v>
      </c>
      <c r="G14" s="284">
        <v>1951.77</v>
      </c>
      <c r="H14" s="29">
        <v>585.53</v>
      </c>
      <c r="I14" s="291">
        <v>0</v>
      </c>
      <c r="J14" s="202" t="s">
        <v>66</v>
      </c>
      <c r="K14" s="348">
        <v>1133.27</v>
      </c>
      <c r="L14" s="321" t="s">
        <v>138</v>
      </c>
    </row>
    <row r="15" spans="1:13" s="1" customFormat="1" ht="26.25" customHeight="1" x14ac:dyDescent="0.4">
      <c r="A15" s="20">
        <v>11</v>
      </c>
      <c r="B15" s="131" t="s">
        <v>71</v>
      </c>
      <c r="C15" s="131"/>
      <c r="D15" s="131"/>
      <c r="E15" s="131"/>
      <c r="F15" s="20" t="s">
        <v>70</v>
      </c>
      <c r="G15" s="130">
        <v>2322.9</v>
      </c>
      <c r="H15" s="20" t="s">
        <v>28</v>
      </c>
      <c r="I15" s="155">
        <v>0</v>
      </c>
      <c r="J15" s="132" t="s">
        <v>72</v>
      </c>
      <c r="K15" s="157">
        <v>1138.1600000000001</v>
      </c>
      <c r="L15" s="51"/>
    </row>
    <row r="16" spans="1:13" s="1" customFormat="1" ht="25.5" customHeight="1" x14ac:dyDescent="0.4">
      <c r="A16" s="39">
        <v>12</v>
      </c>
      <c r="B16" s="28" t="s">
        <v>45</v>
      </c>
      <c r="C16" s="46"/>
      <c r="D16" s="47"/>
      <c r="E16" s="19"/>
      <c r="F16" s="4" t="s">
        <v>70</v>
      </c>
      <c r="G16" s="285">
        <v>3000</v>
      </c>
      <c r="H16" s="48" t="s">
        <v>28</v>
      </c>
      <c r="I16" s="48">
        <v>0</v>
      </c>
      <c r="J16" s="30">
        <v>81987740111</v>
      </c>
      <c r="K16" s="186">
        <v>1500</v>
      </c>
      <c r="L16" s="237"/>
    </row>
    <row r="17" spans="1:13" s="1" customFormat="1" ht="25.5" customHeight="1" x14ac:dyDescent="0.35">
      <c r="A17" s="20">
        <v>13</v>
      </c>
      <c r="B17" s="108" t="s">
        <v>108</v>
      </c>
      <c r="C17" s="108"/>
      <c r="D17" s="108"/>
      <c r="E17" s="108"/>
      <c r="F17" s="39" t="s">
        <v>70</v>
      </c>
      <c r="G17" s="109">
        <v>2000</v>
      </c>
      <c r="H17" s="39" t="s">
        <v>28</v>
      </c>
      <c r="I17" s="109">
        <v>0</v>
      </c>
      <c r="J17" s="39" t="s">
        <v>109</v>
      </c>
      <c r="K17" s="299">
        <v>1000</v>
      </c>
      <c r="L17" s="108"/>
    </row>
    <row r="18" spans="1:13" s="1" customFormat="1" ht="25.5" customHeight="1" x14ac:dyDescent="0.25"/>
    <row r="19" spans="1:13" s="50" customFormat="1" ht="24.75" customHeight="1" x14ac:dyDescent="0.4">
      <c r="A19" s="39">
        <v>14</v>
      </c>
      <c r="B19" s="19" t="s">
        <v>34</v>
      </c>
      <c r="C19" s="193"/>
      <c r="D19" s="194"/>
      <c r="E19" s="195"/>
      <c r="F19" s="12" t="s">
        <v>88</v>
      </c>
      <c r="G19" s="285">
        <v>1699.42</v>
      </c>
      <c r="H19" s="48">
        <v>509.82</v>
      </c>
      <c r="I19" s="48">
        <v>0</v>
      </c>
      <c r="J19" s="49">
        <v>4284854488</v>
      </c>
      <c r="K19" s="157">
        <v>932.77</v>
      </c>
      <c r="L19" s="118"/>
    </row>
    <row r="20" spans="1:13" s="50" customFormat="1" ht="24.75" customHeight="1" x14ac:dyDescent="0.4">
      <c r="A20" s="127">
        <v>15</v>
      </c>
      <c r="B20" s="108" t="s">
        <v>58</v>
      </c>
      <c r="C20" s="108"/>
      <c r="D20" s="108"/>
      <c r="E20" s="108"/>
      <c r="F20" s="4" t="s">
        <v>88</v>
      </c>
      <c r="G20" s="109">
        <v>1699.42</v>
      </c>
      <c r="H20" s="155">
        <v>509.82</v>
      </c>
      <c r="I20" s="168">
        <v>300</v>
      </c>
      <c r="J20" s="39">
        <v>81999536628</v>
      </c>
      <c r="K20" s="163">
        <v>1334.74</v>
      </c>
      <c r="L20" s="118"/>
    </row>
    <row r="21" spans="1:13" s="50" customFormat="1" ht="25.5" customHeight="1" x14ac:dyDescent="0.4">
      <c r="A21" s="20">
        <v>16</v>
      </c>
      <c r="B21" s="108" t="s">
        <v>54</v>
      </c>
      <c r="C21" s="61"/>
      <c r="D21" s="61"/>
      <c r="E21" s="61"/>
      <c r="F21" s="4" t="s">
        <v>88</v>
      </c>
      <c r="G21" s="109">
        <v>1699.42</v>
      </c>
      <c r="H21" s="216">
        <v>509.82</v>
      </c>
      <c r="I21" s="217">
        <v>0</v>
      </c>
      <c r="J21" s="203" t="s">
        <v>91</v>
      </c>
      <c r="K21" s="157">
        <v>1034.74</v>
      </c>
      <c r="L21" s="196"/>
    </row>
    <row r="22" spans="1:13" s="50" customFormat="1" ht="25.5" customHeight="1" x14ac:dyDescent="0.4">
      <c r="A22" s="20">
        <v>17</v>
      </c>
      <c r="B22" s="164" t="s">
        <v>62</v>
      </c>
      <c r="C22" s="164"/>
      <c r="D22" s="164"/>
      <c r="E22" s="164"/>
      <c r="F22" s="4" t="s">
        <v>88</v>
      </c>
      <c r="G22" s="165">
        <v>1699.42</v>
      </c>
      <c r="H22" s="166">
        <v>509.82</v>
      </c>
      <c r="I22" s="197">
        <v>200</v>
      </c>
      <c r="J22" s="167">
        <v>81984564599</v>
      </c>
      <c r="K22" s="163">
        <v>1234.74</v>
      </c>
      <c r="L22" s="118"/>
    </row>
    <row r="23" spans="1:13" ht="25.5" customHeight="1" x14ac:dyDescent="0.4">
      <c r="L23"/>
    </row>
    <row r="24" spans="1:13" ht="25.5" customHeight="1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330"/>
    </row>
    <row r="25" spans="1:13" s="6" customFormat="1" ht="25.5" customHeight="1" x14ac:dyDescent="0.35">
      <c r="A25" s="20">
        <v>18</v>
      </c>
      <c r="B25" s="28" t="s">
        <v>36</v>
      </c>
      <c r="C25" s="40"/>
      <c r="D25" s="41"/>
      <c r="E25" s="42"/>
      <c r="F25" s="55" t="s">
        <v>139</v>
      </c>
      <c r="G25" s="284">
        <v>1840.37</v>
      </c>
      <c r="H25" s="29" t="s">
        <v>28</v>
      </c>
      <c r="I25" s="291">
        <v>0</v>
      </c>
      <c r="J25" s="202" t="s">
        <v>65</v>
      </c>
      <c r="K25" s="309">
        <v>920.18</v>
      </c>
      <c r="L25" s="73"/>
      <c r="M25" s="50"/>
    </row>
    <row r="26" spans="1:13" ht="24.75" customHeight="1" x14ac:dyDescent="0.35">
      <c r="A26" s="4">
        <v>19</v>
      </c>
      <c r="B26" s="169" t="s">
        <v>76</v>
      </c>
      <c r="C26" s="169"/>
      <c r="D26" s="169"/>
      <c r="E26" s="169"/>
      <c r="F26" s="55" t="s">
        <v>139</v>
      </c>
      <c r="G26" s="170">
        <v>1621</v>
      </c>
      <c r="H26" s="171" t="s">
        <v>28</v>
      </c>
      <c r="I26" s="198">
        <v>0</v>
      </c>
      <c r="J26" s="171">
        <v>81999804645</v>
      </c>
      <c r="K26" s="296">
        <v>699.43</v>
      </c>
      <c r="L26" s="316"/>
    </row>
    <row r="27" spans="1:13" s="6" customFormat="1" ht="25.5" customHeight="1" x14ac:dyDescent="0.4">
      <c r="A27" s="20">
        <v>20</v>
      </c>
      <c r="B27" s="72" t="s">
        <v>114</v>
      </c>
      <c r="C27" s="18"/>
      <c r="D27" s="18"/>
      <c r="E27" s="18"/>
      <c r="F27" s="55" t="s">
        <v>139</v>
      </c>
      <c r="G27" s="165">
        <v>1621</v>
      </c>
      <c r="H27" s="4" t="s">
        <v>28</v>
      </c>
      <c r="I27" s="166">
        <v>0</v>
      </c>
      <c r="J27" s="167" t="s">
        <v>113</v>
      </c>
      <c r="K27" s="163">
        <v>810.5</v>
      </c>
      <c r="L27" s="51"/>
    </row>
    <row r="28" spans="1:13" ht="25.5" customHeight="1" x14ac:dyDescent="0.4">
      <c r="A28" s="39">
        <v>21</v>
      </c>
      <c r="B28" s="72" t="s">
        <v>129</v>
      </c>
      <c r="C28" s="164"/>
      <c r="D28" s="164"/>
      <c r="E28" s="164"/>
      <c r="F28" s="55" t="s">
        <v>139</v>
      </c>
      <c r="G28" s="165">
        <v>1621</v>
      </c>
      <c r="H28" s="4" t="s">
        <v>28</v>
      </c>
      <c r="I28" s="166">
        <v>0</v>
      </c>
      <c r="J28" s="317" t="s">
        <v>130</v>
      </c>
      <c r="K28" s="163">
        <v>810.5</v>
      </c>
      <c r="L28" s="73"/>
    </row>
    <row r="29" spans="1:13" ht="24.75" customHeight="1" x14ac:dyDescent="0.4"/>
    <row r="30" spans="1:13" ht="26.25" customHeight="1" x14ac:dyDescent="0.35">
      <c r="A30" s="39">
        <v>22</v>
      </c>
      <c r="B30" s="208" t="s">
        <v>20</v>
      </c>
      <c r="C30" s="209">
        <v>45059</v>
      </c>
      <c r="D30" s="210">
        <v>71720638489</v>
      </c>
      <c r="E30" s="8" t="s">
        <v>11</v>
      </c>
      <c r="F30" s="210" t="s">
        <v>12</v>
      </c>
      <c r="G30" s="286">
        <v>2322.9</v>
      </c>
      <c r="H30" s="211" t="s">
        <v>28</v>
      </c>
      <c r="I30" s="15">
        <v>0</v>
      </c>
      <c r="J30" s="13">
        <v>71720638489</v>
      </c>
      <c r="K30" s="299">
        <v>1138.1600000000001</v>
      </c>
      <c r="L30" s="51"/>
    </row>
    <row r="31" spans="1:13" ht="25.5" customHeight="1" x14ac:dyDescent="0.4">
      <c r="A31" s="4">
        <v>23</v>
      </c>
      <c r="B31" s="28" t="s">
        <v>37</v>
      </c>
      <c r="C31" s="40"/>
      <c r="D31" s="41"/>
      <c r="E31" s="42"/>
      <c r="F31" s="20" t="s">
        <v>12</v>
      </c>
      <c r="G31" s="284">
        <v>1621</v>
      </c>
      <c r="H31" s="29" t="s">
        <v>28</v>
      </c>
      <c r="I31" s="291">
        <v>0</v>
      </c>
      <c r="J31" s="30">
        <v>11078971498</v>
      </c>
      <c r="K31" s="157">
        <v>834.51</v>
      </c>
      <c r="L31" s="73" t="s">
        <v>140</v>
      </c>
    </row>
    <row r="32" spans="1:13" s="52" customFormat="1" ht="25.5" customHeight="1" x14ac:dyDescent="0.4">
      <c r="A32" s="4">
        <v>24</v>
      </c>
      <c r="B32" s="14" t="s">
        <v>22</v>
      </c>
      <c r="C32" s="9">
        <v>45064</v>
      </c>
      <c r="D32" s="10" t="s">
        <v>21</v>
      </c>
      <c r="E32" s="8" t="s">
        <v>11</v>
      </c>
      <c r="F32" s="12" t="s">
        <v>12</v>
      </c>
      <c r="G32" s="283">
        <v>1621</v>
      </c>
      <c r="H32" s="15" t="s">
        <v>28</v>
      </c>
      <c r="I32" s="199">
        <v>0</v>
      </c>
      <c r="J32" s="13" t="s">
        <v>67</v>
      </c>
      <c r="K32" s="157">
        <v>699.43</v>
      </c>
      <c r="L32" s="51"/>
    </row>
    <row r="33" spans="1:12" s="52" customFormat="1" ht="25.5" customHeight="1" x14ac:dyDescent="0.4">
      <c r="A33" s="4">
        <v>25</v>
      </c>
      <c r="B33" s="108" t="s">
        <v>60</v>
      </c>
      <c r="C33" s="54"/>
      <c r="D33" s="54"/>
      <c r="E33" s="54"/>
      <c r="F33" s="20" t="s">
        <v>12</v>
      </c>
      <c r="G33" s="130">
        <v>1621</v>
      </c>
      <c r="H33" s="20" t="s">
        <v>28</v>
      </c>
      <c r="I33" s="155">
        <v>0</v>
      </c>
      <c r="J33" s="39">
        <v>13920895495</v>
      </c>
      <c r="K33" s="163">
        <v>766.97</v>
      </c>
      <c r="L33" s="73" t="s">
        <v>110</v>
      </c>
    </row>
    <row r="34" spans="1:12" s="52" customFormat="1" ht="30" customHeight="1" x14ac:dyDescent="0.4">
      <c r="A34" s="4">
        <v>26</v>
      </c>
      <c r="B34" s="108" t="s">
        <v>61</v>
      </c>
      <c r="C34" s="54"/>
      <c r="D34" s="54"/>
      <c r="E34" s="54"/>
      <c r="F34" s="20" t="s">
        <v>12</v>
      </c>
      <c r="G34" s="130">
        <v>1621</v>
      </c>
      <c r="H34" s="20" t="s">
        <v>28</v>
      </c>
      <c r="I34" s="155">
        <v>0</v>
      </c>
      <c r="J34" s="39">
        <v>10510776485</v>
      </c>
      <c r="K34" s="163">
        <v>602.16999999999996</v>
      </c>
      <c r="L34" s="73" t="s">
        <v>111</v>
      </c>
    </row>
    <row r="35" spans="1:12" s="52" customFormat="1" ht="24.75" customHeight="1" x14ac:dyDescent="0.25"/>
    <row r="36" spans="1:12" ht="37.5" customHeight="1" x14ac:dyDescent="0.25">
      <c r="A36" s="238"/>
      <c r="B36" s="142"/>
      <c r="C36" s="142"/>
      <c r="D36" s="142"/>
      <c r="E36" s="142"/>
      <c r="F36" s="142"/>
      <c r="G36" s="143">
        <f>SUM(G4:G34)</f>
        <v>47448.99</v>
      </c>
      <c r="H36" s="212"/>
      <c r="I36" s="292"/>
      <c r="J36" s="204"/>
      <c r="K36" s="143">
        <f>SUM(K4:K34)</f>
        <v>23922.1</v>
      </c>
      <c r="L36" s="332"/>
    </row>
    <row r="37" spans="1:12" ht="27" customHeight="1" x14ac:dyDescent="0.4">
      <c r="L37" s="331"/>
    </row>
    <row r="38" spans="1:12" ht="33" customHeight="1" x14ac:dyDescent="0.25">
      <c r="A38" s="69"/>
      <c r="B38" s="69"/>
      <c r="C38" s="70"/>
      <c r="D38" s="70"/>
      <c r="E38" s="71"/>
      <c r="F38" s="71" t="s">
        <v>53</v>
      </c>
      <c r="G38" s="287"/>
      <c r="H38" s="213"/>
      <c r="I38" s="293"/>
      <c r="J38" s="119"/>
      <c r="K38" s="187"/>
      <c r="L38" s="145"/>
    </row>
    <row r="39" spans="1:12" ht="24" customHeight="1" x14ac:dyDescent="0.25">
      <c r="A39" s="144" t="s">
        <v>1</v>
      </c>
      <c r="B39" s="68" t="s">
        <v>2</v>
      </c>
      <c r="C39" s="68" t="s">
        <v>3</v>
      </c>
      <c r="D39" s="68" t="s">
        <v>4</v>
      </c>
      <c r="E39" s="68" t="s">
        <v>5</v>
      </c>
      <c r="F39" s="68" t="s">
        <v>6</v>
      </c>
      <c r="G39" s="308" t="s">
        <v>7</v>
      </c>
      <c r="H39" s="105" t="s">
        <v>44</v>
      </c>
      <c r="I39" s="288" t="s">
        <v>27</v>
      </c>
      <c r="J39" s="274" t="s">
        <v>18</v>
      </c>
      <c r="K39" s="288" t="s">
        <v>24</v>
      </c>
      <c r="L39" s="288" t="s">
        <v>19</v>
      </c>
    </row>
    <row r="40" spans="1:12" ht="30" customHeight="1" x14ac:dyDescent="0.4">
      <c r="A40" s="4">
        <v>1</v>
      </c>
      <c r="B40" s="164" t="s">
        <v>79</v>
      </c>
      <c r="C40" s="273"/>
      <c r="D40" s="273"/>
      <c r="E40" s="273"/>
      <c r="F40" s="4" t="s">
        <v>13</v>
      </c>
      <c r="G40" s="250">
        <v>1621</v>
      </c>
      <c r="H40" s="4" t="s">
        <v>28</v>
      </c>
      <c r="I40" s="168">
        <v>192</v>
      </c>
      <c r="J40" s="272" t="s">
        <v>80</v>
      </c>
      <c r="K40" s="163">
        <v>870.87</v>
      </c>
      <c r="L40" s="73" t="s">
        <v>143</v>
      </c>
    </row>
    <row r="41" spans="1:12" ht="27" customHeight="1" x14ac:dyDescent="0.4">
      <c r="A41" s="4">
        <v>2</v>
      </c>
      <c r="B41" s="72" t="s">
        <v>93</v>
      </c>
      <c r="C41" s="118"/>
      <c r="D41" s="118"/>
      <c r="E41" s="118"/>
      <c r="F41" s="4" t="s">
        <v>13</v>
      </c>
      <c r="G41" s="109">
        <v>1621</v>
      </c>
      <c r="H41" s="154" t="s">
        <v>28</v>
      </c>
      <c r="I41" s="74">
        <v>192</v>
      </c>
      <c r="J41" s="236">
        <v>81997674357</v>
      </c>
      <c r="K41" s="163">
        <v>1002.5</v>
      </c>
      <c r="L41" s="73" t="s">
        <v>94</v>
      </c>
    </row>
    <row r="42" spans="1:12" ht="27.75" customHeight="1" x14ac:dyDescent="0.4">
      <c r="A42" s="12"/>
      <c r="L42" s="331"/>
    </row>
    <row r="43" spans="1:12" ht="25.5" customHeight="1" x14ac:dyDescent="0.4">
      <c r="A43" s="4">
        <v>3</v>
      </c>
      <c r="B43" s="11" t="s">
        <v>46</v>
      </c>
      <c r="C43" s="11"/>
      <c r="D43" s="11"/>
      <c r="E43" s="11"/>
      <c r="F43" s="12" t="s">
        <v>78</v>
      </c>
      <c r="G43" s="289">
        <v>2322.9</v>
      </c>
      <c r="H43" s="153" t="s">
        <v>28</v>
      </c>
      <c r="I43" s="138">
        <v>0</v>
      </c>
      <c r="J43" s="162" t="s">
        <v>33</v>
      </c>
      <c r="K43" s="300">
        <v>847.29</v>
      </c>
      <c r="L43" s="51" t="s">
        <v>132</v>
      </c>
    </row>
    <row r="44" spans="1:12" ht="26.25" customHeight="1" x14ac:dyDescent="0.4">
      <c r="A44" s="4">
        <v>4</v>
      </c>
      <c r="B44" s="72" t="s">
        <v>112</v>
      </c>
      <c r="C44" s="164"/>
      <c r="D44" s="164"/>
      <c r="E44" s="164"/>
      <c r="F44" s="4" t="s">
        <v>131</v>
      </c>
      <c r="G44" s="165">
        <v>1621</v>
      </c>
      <c r="H44" s="4" t="s">
        <v>28</v>
      </c>
      <c r="I44" s="197">
        <v>0</v>
      </c>
      <c r="J44" s="4">
        <v>81996120096</v>
      </c>
      <c r="K44" s="163">
        <v>810.5</v>
      </c>
      <c r="L44" s="51"/>
    </row>
    <row r="45" spans="1:12" ht="25.5" customHeight="1" x14ac:dyDescent="0.4">
      <c r="E45" s="17"/>
      <c r="F45" s="57"/>
      <c r="G45" s="26"/>
      <c r="H45" s="58"/>
      <c r="I45" s="206"/>
      <c r="J45" s="133"/>
      <c r="K45" s="17"/>
      <c r="L45"/>
    </row>
    <row r="46" spans="1:12" ht="21" hidden="1" customHeight="1" x14ac:dyDescent="0.4"/>
    <row r="47" spans="1:12" ht="24.75" customHeight="1" x14ac:dyDescent="0.4"/>
    <row r="48" spans="1:12" ht="33.75" customHeight="1" x14ac:dyDescent="0.35">
      <c r="A48" s="141"/>
      <c r="B48" s="139"/>
      <c r="C48" s="139"/>
      <c r="D48" s="139"/>
      <c r="E48" s="139"/>
      <c r="F48" s="139"/>
      <c r="G48" s="143">
        <f>SUM(G40:G44)</f>
        <v>7185.9</v>
      </c>
      <c r="H48" s="212"/>
      <c r="I48" s="120"/>
      <c r="J48" s="205"/>
      <c r="K48" s="120">
        <f>SUM(K40:K44)</f>
        <v>3531.16</v>
      </c>
      <c r="L48" s="140"/>
    </row>
    <row r="49" spans="7:12" ht="34.5" customHeight="1" x14ac:dyDescent="0.4"/>
    <row r="50" spans="7:12" ht="37.5" customHeight="1" x14ac:dyDescent="0.4"/>
    <row r="51" spans="7:12" x14ac:dyDescent="0.4">
      <c r="G51" s="58"/>
      <c r="I51" s="294"/>
      <c r="J51" s="57"/>
      <c r="K51" s="188"/>
      <c r="L51"/>
    </row>
  </sheetData>
  <mergeCells count="2">
    <mergeCell ref="A1:L1"/>
    <mergeCell ref="A2:L2"/>
  </mergeCells>
  <phoneticPr fontId="21" type="noConversion"/>
  <conditionalFormatting sqref="B4">
    <cfRule type="duplicateValues" dxfId="16" priority="1"/>
  </conditionalFormatting>
  <conditionalFormatting sqref="B12">
    <cfRule type="duplicateValues" dxfId="15" priority="136"/>
  </conditionalFormatting>
  <conditionalFormatting sqref="B16">
    <cfRule type="duplicateValues" dxfId="14" priority="11"/>
  </conditionalFormatting>
  <conditionalFormatting sqref="B19">
    <cfRule type="duplicateValues" dxfId="13" priority="5"/>
  </conditionalFormatting>
  <conditionalFormatting sqref="B25">
    <cfRule type="duplicateValues" dxfId="12" priority="12"/>
  </conditionalFormatting>
  <conditionalFormatting sqref="B30">
    <cfRule type="duplicateValues" dxfId="11" priority="6"/>
  </conditionalFormatting>
  <conditionalFormatting sqref="B31">
    <cfRule type="duplicateValues" dxfId="10" priority="16"/>
  </conditionalFormatting>
  <conditionalFormatting sqref="B32">
    <cfRule type="duplicateValues" dxfId="9" priority="137"/>
  </conditionalFormatting>
  <conditionalFormatting sqref="B43">
    <cfRule type="duplicateValues" dxfId="8" priority="3"/>
  </conditionalFormatting>
  <conditionalFormatting sqref="B48 B36">
    <cfRule type="duplicateValues" dxfId="7" priority="132"/>
  </conditionalFormatting>
  <conditionalFormatting sqref="C43">
    <cfRule type="duplicateValues" dxfId="6" priority="4"/>
  </conditionalFormatting>
  <hyperlinks>
    <hyperlink ref="J25" r:id="rId1" xr:uid="{0C088069-4EEC-4B8F-B729-E47ABD4A979B}"/>
    <hyperlink ref="J21" r:id="rId2" xr:uid="{3DDBE54D-17BA-4F4A-B880-327FCFFF10C4}"/>
    <hyperlink ref="J15" r:id="rId3" xr:uid="{87B10F10-8292-4DEA-8F1C-666A7D8FFB8A}"/>
    <hyperlink ref="J14" r:id="rId4" xr:uid="{36D25E01-9AF0-4C37-8BFF-BDE71004F3B9}"/>
  </hyperlinks>
  <pageMargins left="0.25" right="0.25" top="0.75" bottom="0.75" header="0.3" footer="0.3"/>
  <pageSetup paperSize="9" scale="38" fitToWidth="0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FDAF-3B46-4DA5-B20F-3C7D387F9BD8}">
  <sheetPr>
    <pageSetUpPr fitToPage="1"/>
  </sheetPr>
  <dimension ref="A1:I31"/>
  <sheetViews>
    <sheetView zoomScaleNormal="100" workbookViewId="0">
      <selection activeCell="I7" sqref="I7"/>
    </sheetView>
  </sheetViews>
  <sheetFormatPr defaultRowHeight="15" x14ac:dyDescent="0.25"/>
  <cols>
    <col min="1" max="1" width="39.85546875" customWidth="1"/>
    <col min="2" max="2" width="16.7109375" style="57" customWidth="1"/>
    <col min="3" max="3" width="14.28515625" style="17" customWidth="1"/>
    <col min="4" max="4" width="14.85546875" style="17" customWidth="1"/>
    <col min="5" max="5" width="17.5703125" style="57" customWidth="1"/>
    <col min="6" max="6" width="21.28515625" customWidth="1"/>
    <col min="7" max="7" width="13" style="6" customWidth="1"/>
    <col min="8" max="8" width="24.85546875" style="57" customWidth="1"/>
    <col min="9" max="9" width="23" customWidth="1"/>
    <col min="10" max="10" width="13.140625" customWidth="1"/>
    <col min="11" max="11" width="9.5703125" bestFit="1" customWidth="1"/>
    <col min="12" max="12" width="12" customWidth="1"/>
  </cols>
  <sheetData>
    <row r="1" spans="1:9" ht="27" customHeight="1" x14ac:dyDescent="0.25">
      <c r="A1" s="358" t="s">
        <v>43</v>
      </c>
      <c r="B1" s="358"/>
      <c r="C1" s="358"/>
      <c r="D1" s="358"/>
      <c r="E1" s="358"/>
      <c r="F1" s="358"/>
      <c r="G1" s="358"/>
      <c r="H1" s="358"/>
    </row>
    <row r="2" spans="1:9" ht="9.75" customHeight="1" x14ac:dyDescent="0.25">
      <c r="A2" s="359"/>
      <c r="B2" s="359"/>
      <c r="C2" s="359"/>
      <c r="D2" s="359"/>
      <c r="E2" s="359"/>
      <c r="F2" s="359"/>
      <c r="G2" s="359"/>
      <c r="H2" s="359"/>
    </row>
    <row r="3" spans="1:9" ht="18.75" x14ac:dyDescent="0.25">
      <c r="A3" s="358" t="s">
        <v>42</v>
      </c>
      <c r="B3" s="358"/>
      <c r="C3" s="358"/>
      <c r="D3" s="358"/>
      <c r="E3" s="358"/>
      <c r="F3" s="358"/>
      <c r="G3" s="358"/>
      <c r="H3" s="358"/>
    </row>
    <row r="4" spans="1:9" s="3" customFormat="1" ht="39" customHeight="1" x14ac:dyDescent="0.25">
      <c r="A4" s="253" t="s">
        <v>2</v>
      </c>
      <c r="B4" s="254" t="s">
        <v>7</v>
      </c>
      <c r="C4" s="266" t="s">
        <v>118</v>
      </c>
      <c r="D4" s="253" t="s">
        <v>41</v>
      </c>
      <c r="E4" s="254" t="s">
        <v>40</v>
      </c>
      <c r="F4" s="253" t="s">
        <v>18</v>
      </c>
      <c r="G4" s="253" t="s">
        <v>96</v>
      </c>
      <c r="H4" s="254" t="s">
        <v>39</v>
      </c>
    </row>
    <row r="5" spans="1:9" s="3" customFormat="1" ht="15" customHeight="1" x14ac:dyDescent="0.25">
      <c r="A5" s="59" t="s">
        <v>114</v>
      </c>
      <c r="B5" s="304">
        <v>1621</v>
      </c>
      <c r="C5" s="276">
        <v>46042</v>
      </c>
      <c r="D5" s="275">
        <v>30</v>
      </c>
      <c r="E5" s="242">
        <v>0</v>
      </c>
      <c r="F5" s="337" t="s">
        <v>113</v>
      </c>
      <c r="G5" s="277" t="s">
        <v>102</v>
      </c>
      <c r="H5" s="279">
        <v>810.5</v>
      </c>
    </row>
    <row r="6" spans="1:9" s="3" customFormat="1" ht="15" customHeight="1" x14ac:dyDescent="0.25">
      <c r="A6" s="301" t="s">
        <v>119</v>
      </c>
      <c r="B6" s="36">
        <v>1621</v>
      </c>
      <c r="C6" s="268">
        <v>46044</v>
      </c>
      <c r="D6" s="34">
        <v>30</v>
      </c>
      <c r="E6" s="36">
        <v>0</v>
      </c>
      <c r="F6" s="338">
        <v>12216055425</v>
      </c>
      <c r="G6" s="267" t="s">
        <v>121</v>
      </c>
      <c r="H6" s="279">
        <v>810.5</v>
      </c>
    </row>
    <row r="7" spans="1:9" s="3" customFormat="1" ht="15" customHeight="1" x14ac:dyDescent="0.25">
      <c r="A7" s="59" t="s">
        <v>120</v>
      </c>
      <c r="B7" s="36">
        <v>1621</v>
      </c>
      <c r="C7" s="268">
        <v>46044</v>
      </c>
      <c r="D7" s="34">
        <v>30</v>
      </c>
      <c r="E7" s="36">
        <v>0</v>
      </c>
      <c r="F7" s="338">
        <v>81989666189</v>
      </c>
      <c r="G7" s="267" t="s">
        <v>103</v>
      </c>
      <c r="H7" s="279">
        <v>810.5</v>
      </c>
      <c r="I7" s="340"/>
    </row>
    <row r="8" spans="1:9" s="3" customFormat="1" ht="15" customHeight="1" x14ac:dyDescent="0.3">
      <c r="A8" s="59" t="s">
        <v>125</v>
      </c>
      <c r="B8" s="36">
        <v>1621</v>
      </c>
      <c r="C8" s="268">
        <v>46044</v>
      </c>
      <c r="D8" s="34">
        <v>30</v>
      </c>
      <c r="E8" s="36">
        <v>0</v>
      </c>
      <c r="F8" s="338">
        <v>16985297404</v>
      </c>
      <c r="G8" s="265" t="s">
        <v>122</v>
      </c>
      <c r="H8" s="278">
        <v>810.5</v>
      </c>
    </row>
    <row r="9" spans="1:9" ht="15" customHeight="1" x14ac:dyDescent="0.25">
      <c r="A9" s="59" t="s">
        <v>129</v>
      </c>
      <c r="B9" s="161">
        <v>1621</v>
      </c>
      <c r="C9" s="269">
        <v>46071</v>
      </c>
      <c r="D9" s="318">
        <v>30</v>
      </c>
      <c r="E9" s="319">
        <v>0</v>
      </c>
      <c r="F9" s="339" t="s">
        <v>130</v>
      </c>
      <c r="G9" s="271" t="s">
        <v>134</v>
      </c>
      <c r="H9" s="320">
        <v>810.5</v>
      </c>
    </row>
    <row r="10" spans="1:9" ht="30" customHeight="1" x14ac:dyDescent="0.4">
      <c r="A10" s="357"/>
      <c r="B10" s="357"/>
      <c r="C10" s="357"/>
      <c r="D10" s="357"/>
      <c r="E10" s="357"/>
      <c r="F10" s="357"/>
      <c r="G10" s="357"/>
      <c r="H10" s="345">
        <f>SUM(H5:H9)</f>
        <v>4052.5</v>
      </c>
    </row>
    <row r="11" spans="1:9" ht="15" customHeight="1" x14ac:dyDescent="0.25"/>
    <row r="12" spans="1:9" ht="23.25" customHeight="1" x14ac:dyDescent="0.25"/>
    <row r="13" spans="1:9" s="35" customFormat="1" ht="15" customHeight="1" x14ac:dyDescent="0.3">
      <c r="A13" s="255"/>
      <c r="B13" s="256"/>
      <c r="C13" s="302" t="s">
        <v>86</v>
      </c>
      <c r="D13" s="302"/>
      <c r="E13" s="257"/>
      <c r="F13" s="255"/>
      <c r="G13" s="264"/>
      <c r="H13" s="257"/>
      <c r="I13"/>
    </row>
    <row r="14" spans="1:9" ht="30" x14ac:dyDescent="0.25">
      <c r="A14" s="253" t="s">
        <v>2</v>
      </c>
      <c r="B14" s="254" t="s">
        <v>7</v>
      </c>
      <c r="C14" s="253" t="s">
        <v>118</v>
      </c>
      <c r="D14" s="253" t="s">
        <v>41</v>
      </c>
      <c r="E14" s="254" t="s">
        <v>40</v>
      </c>
      <c r="F14" s="253" t="s">
        <v>18</v>
      </c>
      <c r="G14" s="253" t="s">
        <v>96</v>
      </c>
      <c r="H14" s="254" t="s">
        <v>39</v>
      </c>
    </row>
    <row r="15" spans="1:9" ht="18.75" x14ac:dyDescent="0.3">
      <c r="A15" s="61" t="s">
        <v>93</v>
      </c>
      <c r="B15" s="161">
        <v>1621</v>
      </c>
      <c r="C15" s="269">
        <v>46002</v>
      </c>
      <c r="D15" s="270">
        <v>30</v>
      </c>
      <c r="E15" s="215">
        <v>0</v>
      </c>
      <c r="F15" s="337">
        <v>81997674357</v>
      </c>
      <c r="G15" s="271" t="s">
        <v>98</v>
      </c>
      <c r="H15" s="278">
        <v>1002.5</v>
      </c>
      <c r="I15" s="347" t="s">
        <v>124</v>
      </c>
    </row>
    <row r="16" spans="1:9" ht="18.75" x14ac:dyDescent="0.3">
      <c r="A16" s="61" t="s">
        <v>112</v>
      </c>
      <c r="B16" s="161">
        <v>1621</v>
      </c>
      <c r="C16" s="268">
        <v>46042</v>
      </c>
      <c r="D16" s="34">
        <v>30</v>
      </c>
      <c r="E16" s="36">
        <v>0</v>
      </c>
      <c r="F16" s="338">
        <v>81996120096</v>
      </c>
      <c r="G16" s="267" t="s">
        <v>117</v>
      </c>
      <c r="H16" s="278">
        <v>810.5</v>
      </c>
    </row>
    <row r="17" spans="1:8" ht="18.75" x14ac:dyDescent="0.3">
      <c r="A17" s="61"/>
      <c r="B17" s="161"/>
      <c r="C17" s="268"/>
      <c r="D17" s="34"/>
      <c r="E17" s="36"/>
      <c r="F17" s="34"/>
      <c r="G17" s="34"/>
      <c r="H17" s="278"/>
    </row>
    <row r="18" spans="1:8" ht="26.25" x14ac:dyDescent="0.4">
      <c r="A18" s="357" t="s">
        <v>14</v>
      </c>
      <c r="B18" s="357"/>
      <c r="C18" s="357"/>
      <c r="D18" s="357"/>
      <c r="E18" s="357"/>
      <c r="F18" s="357"/>
      <c r="G18" s="357"/>
      <c r="H18" s="345">
        <f>SUM(H15:H17)</f>
        <v>1813</v>
      </c>
    </row>
    <row r="19" spans="1:8" ht="15" customHeight="1" x14ac:dyDescent="0.25"/>
    <row r="20" spans="1:8" ht="15" customHeight="1" x14ac:dyDescent="0.25"/>
    <row r="21" spans="1:8" ht="15" customHeight="1" x14ac:dyDescent="0.25"/>
    <row r="22" spans="1:8" ht="18.75" x14ac:dyDescent="0.25">
      <c r="A22" s="344" t="s">
        <v>123</v>
      </c>
      <c r="B22" s="344"/>
      <c r="C22" s="344"/>
      <c r="D22" s="344"/>
      <c r="E22" s="344"/>
      <c r="F22" s="344"/>
      <c r="G22" s="344"/>
      <c r="H22" s="344"/>
    </row>
    <row r="23" spans="1:8" ht="30" x14ac:dyDescent="0.25">
      <c r="A23" s="253" t="s">
        <v>2</v>
      </c>
      <c r="B23" s="254" t="s">
        <v>7</v>
      </c>
      <c r="C23" s="253" t="s">
        <v>118</v>
      </c>
      <c r="D23" s="253" t="s">
        <v>41</v>
      </c>
      <c r="E23" s="254" t="s">
        <v>40</v>
      </c>
      <c r="F23" s="253" t="s">
        <v>18</v>
      </c>
      <c r="G23" s="253" t="s">
        <v>96</v>
      </c>
      <c r="H23" s="254" t="s">
        <v>39</v>
      </c>
    </row>
    <row r="24" spans="1:8" x14ac:dyDescent="0.25">
      <c r="A24" s="18"/>
      <c r="B24" s="36"/>
      <c r="C24" s="268"/>
      <c r="D24" s="34"/>
      <c r="E24" s="36"/>
      <c r="F24" s="34"/>
      <c r="G24" s="267"/>
      <c r="H24" s="36"/>
    </row>
    <row r="25" spans="1:8" ht="24.75" customHeight="1" x14ac:dyDescent="0.3">
      <c r="A25" s="107"/>
      <c r="B25" s="305"/>
      <c r="C25" s="306"/>
      <c r="D25" s="306"/>
      <c r="E25" s="305"/>
      <c r="F25" s="107"/>
      <c r="G25" s="307"/>
      <c r="H25" s="303">
        <f>SUM(H24:H24)</f>
        <v>0</v>
      </c>
    </row>
    <row r="27" spans="1:8" ht="15" customHeight="1" x14ac:dyDescent="0.25"/>
    <row r="29" spans="1:8" ht="26.25" x14ac:dyDescent="0.4">
      <c r="A29" s="311" t="s">
        <v>15</v>
      </c>
      <c r="B29" s="311"/>
      <c r="C29" s="311"/>
      <c r="D29" s="311"/>
      <c r="E29" s="312"/>
      <c r="F29" s="311"/>
      <c r="G29" s="311"/>
      <c r="H29" s="346">
        <f>SUM(H10,H18,H25)</f>
        <v>5865.5</v>
      </c>
    </row>
    <row r="30" spans="1:8" ht="21" customHeight="1" x14ac:dyDescent="0.25"/>
    <row r="31" spans="1:8" ht="15.75" customHeight="1" x14ac:dyDescent="0.25"/>
  </sheetData>
  <mergeCells count="5">
    <mergeCell ref="A18:G18"/>
    <mergeCell ref="A3:H3"/>
    <mergeCell ref="A1:H1"/>
    <mergeCell ref="A2:H2"/>
    <mergeCell ref="A10:G10"/>
  </mergeCells>
  <conditionalFormatting sqref="A10">
    <cfRule type="duplicateValues" dxfId="5" priority="138"/>
  </conditionalFormatting>
  <pageMargins left="0.7" right="0.7" top="0.75" bottom="0.75" header="0.3" footer="0.3"/>
  <pageSetup paperSize="9" scale="7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108A-89E6-4B18-AE0C-62F4721F7B0B}">
  <sheetPr>
    <pageSetUpPr fitToPage="1"/>
  </sheetPr>
  <dimension ref="A1:BG27"/>
  <sheetViews>
    <sheetView view="pageBreakPreview" zoomScale="60" zoomScaleNormal="100" workbookViewId="0">
      <selection activeCell="J8" sqref="J8"/>
    </sheetView>
  </sheetViews>
  <sheetFormatPr defaultRowHeight="21" x14ac:dyDescent="0.35"/>
  <cols>
    <col min="2" max="2" width="62" customWidth="1"/>
    <col min="3" max="3" width="25.28515625" customWidth="1"/>
    <col min="4" max="4" width="21.140625" style="17" customWidth="1"/>
    <col min="5" max="5" width="22.42578125" style="17" customWidth="1"/>
    <col min="6" max="6" width="51.42578125" customWidth="1"/>
    <col min="7" max="7" width="20.42578125" customWidth="1"/>
    <col min="8" max="8" width="22.42578125" customWidth="1"/>
    <col min="9" max="9" width="18.7109375" style="250" customWidth="1"/>
    <col min="10" max="10" width="38.5703125" style="261" customWidth="1"/>
    <col min="11" max="11" width="0.140625" customWidth="1"/>
    <col min="12" max="12" width="9.140625" hidden="1" customWidth="1"/>
    <col min="13" max="13" width="65.28515625" customWidth="1"/>
  </cols>
  <sheetData>
    <row r="1" spans="1:59" ht="15" customHeight="1" x14ac:dyDescent="0.25">
      <c r="A1" s="350" t="s">
        <v>144</v>
      </c>
      <c r="B1" s="350"/>
      <c r="C1" s="350"/>
      <c r="D1" s="350"/>
      <c r="E1" s="350"/>
      <c r="F1" s="350"/>
      <c r="G1" s="350"/>
      <c r="H1" s="350"/>
      <c r="I1" s="350"/>
      <c r="J1" s="350"/>
      <c r="K1" s="63"/>
      <c r="L1" s="64"/>
      <c r="M1" s="38"/>
    </row>
    <row r="2" spans="1:59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50"/>
      <c r="K2" s="65"/>
      <c r="M2" s="38"/>
    </row>
    <row r="3" spans="1:59" ht="25.5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65"/>
      <c r="M3" s="38"/>
    </row>
    <row r="4" spans="1:59" s="16" customFormat="1" ht="62.25" customHeight="1" x14ac:dyDescent="0.25">
      <c r="A4" s="146" t="s">
        <v>1</v>
      </c>
      <c r="B4" s="43" t="s">
        <v>2</v>
      </c>
      <c r="C4" s="43" t="s">
        <v>4</v>
      </c>
      <c r="D4" s="43" t="s">
        <v>30</v>
      </c>
      <c r="E4" s="43" t="s">
        <v>26</v>
      </c>
      <c r="F4" s="226" t="s">
        <v>95</v>
      </c>
      <c r="G4" s="227" t="s">
        <v>96</v>
      </c>
      <c r="H4" s="44" t="s">
        <v>7</v>
      </c>
      <c r="I4" s="248" t="s">
        <v>8</v>
      </c>
      <c r="J4" s="259" t="s">
        <v>14</v>
      </c>
      <c r="K4" s="66"/>
      <c r="M4" s="98" t="s">
        <v>51</v>
      </c>
    </row>
    <row r="5" spans="1:59" ht="26.25" x14ac:dyDescent="0.4">
      <c r="A5" s="4">
        <v>1</v>
      </c>
      <c r="B5" s="91" t="s">
        <v>48</v>
      </c>
      <c r="C5" s="92" t="s">
        <v>49</v>
      </c>
      <c r="D5" s="96">
        <v>45523</v>
      </c>
      <c r="E5" s="93" t="s">
        <v>28</v>
      </c>
      <c r="F5" s="92">
        <v>81986179193</v>
      </c>
      <c r="G5" s="92" t="s">
        <v>100</v>
      </c>
      <c r="H5" s="94">
        <v>3000</v>
      </c>
      <c r="I5" s="249">
        <v>0</v>
      </c>
      <c r="J5" s="260">
        <v>1500</v>
      </c>
      <c r="K5" s="83"/>
      <c r="L5" s="83"/>
      <c r="M5" s="244"/>
    </row>
    <row r="6" spans="1:59" ht="26.25" x14ac:dyDescent="0.4">
      <c r="A6" s="4">
        <v>2</v>
      </c>
      <c r="B6" s="101" t="s">
        <v>106</v>
      </c>
      <c r="C6" s="89" t="s">
        <v>107</v>
      </c>
      <c r="D6" s="214" t="s">
        <v>32</v>
      </c>
      <c r="E6" s="214" t="s">
        <v>32</v>
      </c>
      <c r="F6" s="89" t="s">
        <v>107</v>
      </c>
      <c r="G6" s="214" t="s">
        <v>103</v>
      </c>
      <c r="H6" s="133">
        <v>1300</v>
      </c>
      <c r="I6" s="97">
        <v>0</v>
      </c>
      <c r="J6" s="163">
        <v>650</v>
      </c>
      <c r="K6" s="18"/>
      <c r="L6" s="18"/>
      <c r="M6" s="18"/>
    </row>
    <row r="7" spans="1:59" ht="26.25" x14ac:dyDescent="0.4">
      <c r="A7" s="4">
        <v>3</v>
      </c>
      <c r="B7" s="77" t="s">
        <v>10</v>
      </c>
      <c r="C7" s="78" t="s">
        <v>16</v>
      </c>
      <c r="D7" s="78" t="s">
        <v>28</v>
      </c>
      <c r="E7" s="79">
        <v>44287</v>
      </c>
      <c r="F7" s="322" t="s">
        <v>66</v>
      </c>
      <c r="G7" s="78" t="s">
        <v>103</v>
      </c>
      <c r="H7" s="243">
        <v>1951.77</v>
      </c>
      <c r="I7" s="80">
        <v>0</v>
      </c>
      <c r="J7" s="298">
        <v>1133.27</v>
      </c>
      <c r="K7" s="18"/>
      <c r="L7" s="18"/>
      <c r="M7" s="112" t="s">
        <v>151</v>
      </c>
    </row>
    <row r="8" spans="1:59" ht="26.25" customHeight="1" x14ac:dyDescent="0.4">
      <c r="A8" s="4">
        <v>4</v>
      </c>
      <c r="B8" s="103" t="s">
        <v>71</v>
      </c>
      <c r="C8" s="82" t="s">
        <v>73</v>
      </c>
      <c r="D8" s="81">
        <v>45820</v>
      </c>
      <c r="E8" s="81">
        <v>45876</v>
      </c>
      <c r="F8" s="328" t="s">
        <v>72</v>
      </c>
      <c r="G8" s="76" t="s">
        <v>102</v>
      </c>
      <c r="H8" s="97">
        <v>2322.9</v>
      </c>
      <c r="I8" s="247">
        <v>0</v>
      </c>
      <c r="J8" s="245">
        <v>1138.1600000000001</v>
      </c>
      <c r="K8" s="129"/>
      <c r="L8" s="129"/>
      <c r="M8" s="246"/>
    </row>
    <row r="9" spans="1:59" ht="27.75" customHeight="1" x14ac:dyDescent="0.4">
      <c r="A9" s="4">
        <v>5</v>
      </c>
      <c r="B9" s="90" t="s">
        <v>45</v>
      </c>
      <c r="C9" s="85" t="s">
        <v>47</v>
      </c>
      <c r="D9" s="86">
        <v>45472</v>
      </c>
      <c r="E9" s="104">
        <v>45628</v>
      </c>
      <c r="F9" s="324">
        <v>81987740111</v>
      </c>
      <c r="G9" s="85" t="s">
        <v>104</v>
      </c>
      <c r="H9" s="87">
        <v>3000</v>
      </c>
      <c r="I9" s="176">
        <v>0</v>
      </c>
      <c r="J9" s="157">
        <v>1500</v>
      </c>
      <c r="K9" s="18"/>
      <c r="L9" s="18"/>
      <c r="M9" s="112"/>
    </row>
    <row r="10" spans="1:59" ht="26.25" customHeight="1" x14ac:dyDescent="0.4">
      <c r="A10" s="4">
        <v>6</v>
      </c>
      <c r="B10" s="95" t="s">
        <v>108</v>
      </c>
      <c r="C10" s="88" t="s">
        <v>109</v>
      </c>
      <c r="D10" s="76" t="s">
        <v>28</v>
      </c>
      <c r="E10" s="76" t="s">
        <v>28</v>
      </c>
      <c r="F10" s="88" t="s">
        <v>109</v>
      </c>
      <c r="G10" s="76" t="s">
        <v>115</v>
      </c>
      <c r="H10" s="97">
        <v>2000</v>
      </c>
      <c r="I10" s="97">
        <v>0</v>
      </c>
      <c r="J10" s="163">
        <v>1000</v>
      </c>
      <c r="K10" s="18"/>
      <c r="L10" s="18"/>
      <c r="M10" s="18"/>
    </row>
    <row r="11" spans="1:59" ht="46.5" customHeight="1" x14ac:dyDescent="0.4">
      <c r="A11" s="120"/>
      <c r="B11" s="120" t="s">
        <v>15</v>
      </c>
      <c r="C11" s="120"/>
      <c r="D11" s="120"/>
      <c r="E11" s="120"/>
      <c r="F11" s="120"/>
      <c r="G11" s="120"/>
      <c r="H11" s="120"/>
      <c r="I11" s="251"/>
      <c r="J11" s="122">
        <f>SUM(J5:J10)</f>
        <v>6921.43</v>
      </c>
      <c r="K11" s="83"/>
      <c r="L11" s="83"/>
      <c r="M11" s="121"/>
    </row>
    <row r="12" spans="1:59" ht="26.25" customHeight="1" x14ac:dyDescent="0.35"/>
    <row r="13" spans="1:59" ht="36" customHeight="1" x14ac:dyDescent="0.35"/>
    <row r="14" spans="1:59" s="18" customFormat="1" ht="34.5" customHeight="1" x14ac:dyDescent="0.35">
      <c r="A14"/>
      <c r="B14"/>
      <c r="C14"/>
      <c r="D14" s="17"/>
      <c r="E14" s="17"/>
      <c r="F14"/>
      <c r="G14"/>
      <c r="H14"/>
      <c r="I14" s="250"/>
      <c r="J14" s="26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ht="39.75" customHeight="1" x14ac:dyDescent="0.35"/>
    <row r="16" spans="1:59" ht="25.5" customHeight="1" x14ac:dyDescent="0.35"/>
    <row r="17" spans="9:9" ht="36.75" customHeight="1" x14ac:dyDescent="0.35"/>
    <row r="18" spans="9:9" ht="24.75" customHeight="1" x14ac:dyDescent="0.35"/>
    <row r="19" spans="9:9" ht="28.5" customHeight="1" x14ac:dyDescent="0.35">
      <c r="I19" s="252"/>
    </row>
    <row r="20" spans="9:9" ht="24.75" customHeight="1" x14ac:dyDescent="0.35"/>
    <row r="21" spans="9:9" ht="24.75" customHeight="1" x14ac:dyDescent="0.35"/>
    <row r="22" spans="9:9" ht="24.75" customHeight="1" x14ac:dyDescent="0.35"/>
    <row r="23" spans="9:9" ht="24.75" customHeight="1" x14ac:dyDescent="0.35"/>
    <row r="24" spans="9:9" ht="24.75" customHeight="1" x14ac:dyDescent="0.35"/>
    <row r="25" spans="9:9" ht="24.75" customHeight="1" x14ac:dyDescent="0.35"/>
    <row r="26" spans="9:9" ht="24.75" customHeight="1" x14ac:dyDescent="0.35"/>
    <row r="27" spans="9:9" ht="36" customHeight="1" x14ac:dyDescent="0.35"/>
  </sheetData>
  <mergeCells count="1">
    <mergeCell ref="A1:J3"/>
  </mergeCells>
  <conditionalFormatting sqref="B5">
    <cfRule type="duplicateValues" dxfId="4" priority="6"/>
  </conditionalFormatting>
  <conditionalFormatting sqref="B9">
    <cfRule type="duplicateValues" dxfId="3" priority="1"/>
  </conditionalFormatting>
  <hyperlinks>
    <hyperlink ref="F8" r:id="rId1" xr:uid="{4D40A52C-DF64-4181-AA5C-ED985918899E}"/>
    <hyperlink ref="F7" r:id="rId2" xr:uid="{C202DD4B-1E84-48B2-A72C-9302788909F4}"/>
  </hyperlinks>
  <pageMargins left="0.511811024" right="0.511811024" top="0.78740157499999996" bottom="0.78740157499999996" header="0.31496062000000002" footer="0.31496062000000002"/>
  <pageSetup paperSize="9" scale="38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39A0-D1B0-4579-B357-B1A3A614531E}">
  <sheetPr>
    <pageSetUpPr fitToPage="1"/>
  </sheetPr>
  <dimension ref="A1:BP27"/>
  <sheetViews>
    <sheetView view="pageBreakPreview" zoomScale="60" zoomScaleNormal="100" workbookViewId="0">
      <selection activeCell="J11" sqref="J11"/>
    </sheetView>
  </sheetViews>
  <sheetFormatPr defaultRowHeight="15" x14ac:dyDescent="0.25"/>
  <cols>
    <col min="2" max="2" width="56.85546875" customWidth="1"/>
    <col min="3" max="3" width="25.28515625" customWidth="1"/>
    <col min="4" max="4" width="21.140625" customWidth="1"/>
    <col min="5" max="5" width="22.42578125" customWidth="1"/>
    <col min="6" max="6" width="61.85546875" customWidth="1"/>
    <col min="7" max="7" width="23.7109375" customWidth="1"/>
    <col min="8" max="8" width="24.5703125" customWidth="1"/>
    <col min="9" max="9" width="18.7109375" style="57" customWidth="1"/>
    <col min="10" max="10" width="38.5703125" customWidth="1"/>
    <col min="11" max="11" width="0.140625" customWidth="1"/>
    <col min="12" max="12" width="9.140625" hidden="1" customWidth="1"/>
    <col min="13" max="13" width="52.85546875" customWidth="1"/>
  </cols>
  <sheetData>
    <row r="1" spans="1:68" ht="15" customHeight="1" x14ac:dyDescent="0.25">
      <c r="A1" s="350" t="s">
        <v>145</v>
      </c>
      <c r="B1" s="350"/>
      <c r="C1" s="350"/>
      <c r="D1" s="350"/>
      <c r="E1" s="350"/>
      <c r="F1" s="350"/>
      <c r="G1" s="350"/>
      <c r="H1" s="350"/>
      <c r="I1" s="350"/>
      <c r="J1" s="350"/>
      <c r="K1" s="63"/>
      <c r="L1" s="64"/>
      <c r="M1" s="38"/>
    </row>
    <row r="2" spans="1:68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50"/>
      <c r="K2" s="65"/>
      <c r="M2" s="38"/>
    </row>
    <row r="3" spans="1:68" ht="25.5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65"/>
      <c r="M3" s="38"/>
    </row>
    <row r="4" spans="1:68" s="16" customFormat="1" ht="62.25" customHeight="1" x14ac:dyDescent="0.25">
      <c r="A4" s="201" t="s">
        <v>1</v>
      </c>
      <c r="B4" s="43" t="s">
        <v>2</v>
      </c>
      <c r="C4" s="43" t="s">
        <v>4</v>
      </c>
      <c r="D4" s="43" t="s">
        <v>30</v>
      </c>
      <c r="E4" s="43" t="s">
        <v>26</v>
      </c>
      <c r="F4" s="226" t="s">
        <v>95</v>
      </c>
      <c r="G4" s="227" t="s">
        <v>96</v>
      </c>
      <c r="H4" s="44" t="s">
        <v>7</v>
      </c>
      <c r="I4" s="173" t="s">
        <v>8</v>
      </c>
      <c r="J4" s="62" t="s">
        <v>14</v>
      </c>
      <c r="K4" s="66"/>
      <c r="M4" s="98" t="s">
        <v>51</v>
      </c>
    </row>
    <row r="5" spans="1:68" ht="26.25" x14ac:dyDescent="0.4">
      <c r="A5" s="4">
        <v>1</v>
      </c>
      <c r="B5" s="84" t="s">
        <v>34</v>
      </c>
      <c r="C5" s="89" t="s">
        <v>35</v>
      </c>
      <c r="D5" s="100">
        <v>45349</v>
      </c>
      <c r="E5" s="100">
        <v>45523</v>
      </c>
      <c r="F5" s="335" t="s">
        <v>35</v>
      </c>
      <c r="G5" s="89" t="s">
        <v>98</v>
      </c>
      <c r="H5" s="102">
        <v>2209.2399999999998</v>
      </c>
      <c r="I5" s="177">
        <v>0</v>
      </c>
      <c r="J5" s="110">
        <v>932.77</v>
      </c>
      <c r="K5" s="83"/>
      <c r="L5" s="83"/>
      <c r="M5" s="113"/>
    </row>
    <row r="6" spans="1:68" ht="26.25" x14ac:dyDescent="0.4">
      <c r="A6" s="4">
        <v>2</v>
      </c>
      <c r="B6" s="82" t="s">
        <v>58</v>
      </c>
      <c r="C6" s="76" t="s">
        <v>75</v>
      </c>
      <c r="D6" s="117">
        <v>45792</v>
      </c>
      <c r="E6" s="81">
        <v>45876</v>
      </c>
      <c r="F6" s="88">
        <v>81999536628</v>
      </c>
      <c r="G6" s="76" t="s">
        <v>98</v>
      </c>
      <c r="H6" s="97">
        <v>2209.2399999999998</v>
      </c>
      <c r="I6" s="174">
        <v>0</v>
      </c>
      <c r="J6" s="157">
        <v>1334.74</v>
      </c>
      <c r="K6" s="18"/>
      <c r="L6" s="18"/>
      <c r="M6" s="18"/>
    </row>
    <row r="7" spans="1:68" ht="31.5" x14ac:dyDescent="0.5">
      <c r="A7" s="4">
        <v>3</v>
      </c>
      <c r="B7" s="95" t="s">
        <v>54</v>
      </c>
      <c r="C7" s="88" t="s">
        <v>55</v>
      </c>
      <c r="D7" s="104">
        <v>45715</v>
      </c>
      <c r="E7" s="104">
        <v>45748</v>
      </c>
      <c r="F7" s="313" t="s">
        <v>91</v>
      </c>
      <c r="G7" s="88" t="s">
        <v>98</v>
      </c>
      <c r="H7" s="111">
        <v>2209.2399999999998</v>
      </c>
      <c r="I7" s="174">
        <v>0</v>
      </c>
      <c r="J7" s="160">
        <v>1034.74</v>
      </c>
      <c r="K7" s="129"/>
      <c r="L7" s="129"/>
      <c r="M7" s="189"/>
    </row>
    <row r="8" spans="1:68" ht="26.25" x14ac:dyDescent="0.4">
      <c r="A8" s="4">
        <v>4</v>
      </c>
      <c r="B8" s="82" t="s">
        <v>62</v>
      </c>
      <c r="C8" s="103" t="s">
        <v>63</v>
      </c>
      <c r="D8" s="172">
        <v>45800</v>
      </c>
      <c r="E8" s="93">
        <v>45938</v>
      </c>
      <c r="F8" s="336">
        <v>81984564599</v>
      </c>
      <c r="G8" s="179" t="s">
        <v>97</v>
      </c>
      <c r="H8" s="178">
        <v>2209.2399999999998</v>
      </c>
      <c r="I8" s="178">
        <v>0</v>
      </c>
      <c r="J8" s="158">
        <v>1234.74</v>
      </c>
      <c r="K8" s="129"/>
      <c r="L8" s="129"/>
      <c r="M8" s="113"/>
    </row>
    <row r="9" spans="1:68" ht="26.25" customHeight="1" x14ac:dyDescent="0.25">
      <c r="I9"/>
    </row>
    <row r="10" spans="1:68" ht="44.25" customHeight="1" x14ac:dyDescent="0.4">
      <c r="A10" s="38"/>
      <c r="B10" s="120" t="s">
        <v>15</v>
      </c>
      <c r="C10" s="120"/>
      <c r="D10" s="120"/>
      <c r="E10" s="120"/>
      <c r="F10" s="120"/>
      <c r="G10" s="120"/>
      <c r="H10" s="120"/>
      <c r="I10" s="120"/>
      <c r="J10" s="122">
        <f>SUM(J5:J8)</f>
        <v>4536.99</v>
      </c>
      <c r="K10" s="121"/>
      <c r="L10" s="121"/>
      <c r="M10" s="121"/>
    </row>
    <row r="11" spans="1:68" ht="45" customHeight="1" x14ac:dyDescent="0.25"/>
    <row r="12" spans="1:68" ht="26.25" customHeight="1" x14ac:dyDescent="0.25">
      <c r="I12"/>
    </row>
    <row r="13" spans="1:68" ht="39.75" customHeight="1" x14ac:dyDescent="0.25">
      <c r="A13" s="120"/>
    </row>
    <row r="14" spans="1:68" s="18" customFormat="1" ht="34.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 spans="1:68" ht="39.75" customHeight="1" x14ac:dyDescent="0.25"/>
    <row r="16" spans="1:68" ht="25.5" customHeight="1" x14ac:dyDescent="0.25"/>
    <row r="17" spans="9:9" ht="36.75" customHeight="1" x14ac:dyDescent="0.25"/>
    <row r="18" spans="9:9" ht="24.75" customHeight="1" x14ac:dyDescent="0.25"/>
    <row r="19" spans="9:9" ht="28.5" customHeight="1" x14ac:dyDescent="0.25">
      <c r="I19" s="175"/>
    </row>
    <row r="20" spans="9:9" ht="24.75" customHeight="1" x14ac:dyDescent="0.25"/>
    <row r="21" spans="9:9" ht="24.75" customHeight="1" x14ac:dyDescent="0.25"/>
    <row r="22" spans="9:9" ht="24.75" customHeight="1" x14ac:dyDescent="0.25"/>
    <row r="23" spans="9:9" ht="24.75" customHeight="1" x14ac:dyDescent="0.25"/>
    <row r="24" spans="9:9" ht="24.75" customHeight="1" x14ac:dyDescent="0.25"/>
    <row r="25" spans="9:9" ht="24.75" customHeight="1" x14ac:dyDescent="0.25"/>
    <row r="26" spans="9:9" ht="24.75" customHeight="1" x14ac:dyDescent="0.25"/>
    <row r="27" spans="9:9" ht="36" customHeight="1" x14ac:dyDescent="0.25"/>
  </sheetData>
  <mergeCells count="1">
    <mergeCell ref="A1:J3"/>
  </mergeCells>
  <hyperlinks>
    <hyperlink ref="F7" r:id="rId1" xr:uid="{EDDCE4A3-4E7A-4FDD-902D-6DFBDB2336B9}"/>
  </hyperlinks>
  <pageMargins left="0.511811024" right="0.511811024" top="0.78740157499999996" bottom="0.78740157499999996" header="0.31496062000000002" footer="0.31496062000000002"/>
  <pageSetup paperSize="9" scale="38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C4AA-34A3-416D-A25B-87821657F298}">
  <sheetPr>
    <pageSetUpPr fitToPage="1"/>
  </sheetPr>
  <dimension ref="A1:CM29"/>
  <sheetViews>
    <sheetView view="pageBreakPreview" zoomScale="60" zoomScaleNormal="100" workbookViewId="0">
      <selection activeCell="J5" sqref="J5"/>
    </sheetView>
  </sheetViews>
  <sheetFormatPr defaultRowHeight="23.25" x14ac:dyDescent="0.35"/>
  <cols>
    <col min="2" max="2" width="65" customWidth="1"/>
    <col min="3" max="3" width="25.28515625" customWidth="1"/>
    <col min="4" max="4" width="21.140625" customWidth="1"/>
    <col min="5" max="5" width="22.42578125" customWidth="1"/>
    <col min="6" max="6" width="62" customWidth="1"/>
    <col min="7" max="7" width="21.28515625" customWidth="1"/>
    <col min="8" max="8" width="24.85546875" customWidth="1"/>
    <col min="9" max="9" width="18.7109375" customWidth="1"/>
    <col min="10" max="10" width="31.42578125" customWidth="1"/>
    <col min="11" max="11" width="0.140625" hidden="1" customWidth="1"/>
    <col min="12" max="12" width="9.140625" hidden="1" customWidth="1"/>
    <col min="13" max="13" width="50.5703125" style="7" customWidth="1"/>
  </cols>
  <sheetData>
    <row r="1" spans="1:91" ht="15" customHeight="1" x14ac:dyDescent="0.35">
      <c r="A1" s="350" t="s">
        <v>150</v>
      </c>
      <c r="B1" s="350"/>
      <c r="C1" s="350"/>
      <c r="D1" s="350"/>
      <c r="E1" s="350"/>
      <c r="F1" s="350"/>
      <c r="G1" s="350"/>
      <c r="H1" s="350"/>
      <c r="I1" s="350"/>
      <c r="J1" s="350"/>
      <c r="M1" s="232"/>
    </row>
    <row r="2" spans="1:91" ht="15" customHeight="1" x14ac:dyDescent="0.35">
      <c r="A2" s="350"/>
      <c r="B2" s="350"/>
      <c r="C2" s="350"/>
      <c r="D2" s="350"/>
      <c r="E2" s="350"/>
      <c r="F2" s="350"/>
      <c r="G2" s="350"/>
      <c r="H2" s="350"/>
      <c r="I2" s="350"/>
      <c r="J2" s="350"/>
      <c r="M2" s="232"/>
    </row>
    <row r="3" spans="1:91" ht="25.5" customHeight="1" x14ac:dyDescent="0.35">
      <c r="A3" s="350"/>
      <c r="B3" s="350"/>
      <c r="C3" s="350"/>
      <c r="D3" s="350"/>
      <c r="E3" s="350"/>
      <c r="F3" s="350"/>
      <c r="G3" s="350"/>
      <c r="H3" s="350"/>
      <c r="I3" s="350"/>
      <c r="J3" s="350"/>
      <c r="M3" s="232"/>
    </row>
    <row r="4" spans="1:91" s="16" customFormat="1" ht="62.25" customHeight="1" x14ac:dyDescent="0.25">
      <c r="A4" s="314" t="s">
        <v>1</v>
      </c>
      <c r="B4" s="228" t="s">
        <v>2</v>
      </c>
      <c r="C4" s="228" t="s">
        <v>4</v>
      </c>
      <c r="D4" s="228" t="s">
        <v>30</v>
      </c>
      <c r="E4" s="228" t="s">
        <v>26</v>
      </c>
      <c r="F4" s="233" t="s">
        <v>95</v>
      </c>
      <c r="G4" s="234" t="s">
        <v>96</v>
      </c>
      <c r="H4" s="229" t="s">
        <v>7</v>
      </c>
      <c r="I4" s="228" t="s">
        <v>8</v>
      </c>
      <c r="J4" s="228" t="s">
        <v>14</v>
      </c>
      <c r="K4" s="230"/>
      <c r="L4" s="230"/>
      <c r="M4" s="231" t="s">
        <v>51</v>
      </c>
    </row>
    <row r="5" spans="1:91" ht="26.25" x14ac:dyDescent="0.4">
      <c r="A5" s="4">
        <v>1</v>
      </c>
      <c r="B5" s="128" t="s">
        <v>57</v>
      </c>
      <c r="C5" s="88" t="s">
        <v>64</v>
      </c>
      <c r="D5" s="104">
        <v>45783</v>
      </c>
      <c r="E5" s="104">
        <v>45825</v>
      </c>
      <c r="F5" s="334" t="s">
        <v>64</v>
      </c>
      <c r="G5" s="88" t="s">
        <v>100</v>
      </c>
      <c r="H5" s="114">
        <v>1840.37</v>
      </c>
      <c r="I5" s="39" t="s">
        <v>28</v>
      </c>
      <c r="J5" s="157">
        <v>691.22</v>
      </c>
      <c r="K5" s="18"/>
      <c r="L5" s="18"/>
      <c r="M5" s="321" t="s">
        <v>135</v>
      </c>
    </row>
    <row r="6" spans="1:91" ht="26.25" x14ac:dyDescent="0.4">
      <c r="A6" s="4">
        <v>2</v>
      </c>
      <c r="B6" s="101" t="s">
        <v>83</v>
      </c>
      <c r="C6" s="103" t="s">
        <v>85</v>
      </c>
      <c r="D6" s="235">
        <v>45903</v>
      </c>
      <c r="E6" s="235">
        <v>46038</v>
      </c>
      <c r="F6" s="89">
        <v>81997351613</v>
      </c>
      <c r="G6" s="214" t="s">
        <v>98</v>
      </c>
      <c r="H6" s="97">
        <v>1621</v>
      </c>
      <c r="I6" s="4" t="s">
        <v>28</v>
      </c>
      <c r="J6" s="239">
        <v>602.16999999999996</v>
      </c>
      <c r="M6" s="191" t="s">
        <v>111</v>
      </c>
    </row>
    <row r="7" spans="1:91" ht="31.5" x14ac:dyDescent="0.5">
      <c r="A7" s="4">
        <v>3</v>
      </c>
      <c r="B7" s="82" t="s">
        <v>84</v>
      </c>
      <c r="C7" s="82" t="s">
        <v>87</v>
      </c>
      <c r="D7" s="117">
        <v>45915</v>
      </c>
      <c r="E7" s="81">
        <v>45931</v>
      </c>
      <c r="F7" s="315" t="s">
        <v>105</v>
      </c>
      <c r="G7" s="76" t="s">
        <v>103</v>
      </c>
      <c r="H7" s="97">
        <v>1621</v>
      </c>
      <c r="I7" s="4" t="s">
        <v>28</v>
      </c>
      <c r="J7" s="163">
        <v>834.51</v>
      </c>
      <c r="K7" s="83">
        <v>934.15</v>
      </c>
      <c r="L7" s="83"/>
      <c r="M7" s="191" t="s">
        <v>90</v>
      </c>
    </row>
    <row r="8" spans="1:91" ht="26.25" x14ac:dyDescent="0.4">
      <c r="A8" s="4">
        <v>4</v>
      </c>
      <c r="B8" s="95" t="s">
        <v>92</v>
      </c>
      <c r="C8" s="342" t="s">
        <v>141</v>
      </c>
      <c r="D8" s="341">
        <v>45966</v>
      </c>
      <c r="E8" s="81">
        <v>46087</v>
      </c>
      <c r="F8" s="343">
        <v>81993993133</v>
      </c>
      <c r="G8" s="76" t="s">
        <v>99</v>
      </c>
      <c r="H8" s="97">
        <v>1621</v>
      </c>
      <c r="I8" s="4" t="s">
        <v>28</v>
      </c>
      <c r="J8" s="190">
        <v>622.42999999999995</v>
      </c>
      <c r="K8" s="82"/>
      <c r="L8" s="82"/>
      <c r="M8" s="191" t="s">
        <v>142</v>
      </c>
    </row>
    <row r="9" spans="1:91" x14ac:dyDescent="0.35">
      <c r="A9" s="200"/>
    </row>
    <row r="10" spans="1:91" ht="51" customHeight="1" x14ac:dyDescent="0.4">
      <c r="A10" s="134"/>
      <c r="B10" s="135" t="s">
        <v>15</v>
      </c>
      <c r="C10" s="135"/>
      <c r="D10" s="135"/>
      <c r="E10" s="135"/>
      <c r="F10" s="135"/>
      <c r="G10" s="135"/>
      <c r="H10" s="135"/>
      <c r="I10" s="135"/>
      <c r="J10" s="136">
        <f>SUM(J5:L8)</f>
        <v>3684.4799999999996</v>
      </c>
      <c r="K10" s="137"/>
      <c r="L10" s="137"/>
      <c r="M10" s="192"/>
    </row>
    <row r="11" spans="1:91" ht="26.25" customHeight="1" x14ac:dyDescent="0.25">
      <c r="M11"/>
    </row>
    <row r="12" spans="1:91" ht="39.75" customHeight="1" x14ac:dyDescent="0.35"/>
    <row r="13" spans="1:91" ht="26.25" customHeight="1" x14ac:dyDescent="0.35"/>
    <row r="14" spans="1:91" ht="39.75" customHeight="1" x14ac:dyDescent="0.35"/>
    <row r="15" spans="1:91" ht="26.25" customHeight="1" x14ac:dyDescent="0.35"/>
    <row r="16" spans="1:91" s="18" customFormat="1" ht="41.2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 s="7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1:1" ht="48" customHeight="1" x14ac:dyDescent="0.35">
      <c r="A17" s="120"/>
    </row>
    <row r="18" spans="1:1" ht="25.5" customHeight="1" x14ac:dyDescent="0.35"/>
    <row r="19" spans="1:1" ht="24" customHeight="1" x14ac:dyDescent="0.35"/>
    <row r="20" spans="1:1" ht="24.75" customHeight="1" x14ac:dyDescent="0.35"/>
    <row r="21" spans="1:1" ht="28.5" customHeight="1" x14ac:dyDescent="0.35"/>
    <row r="22" spans="1:1" ht="24.75" customHeight="1" x14ac:dyDescent="0.35"/>
    <row r="23" spans="1:1" ht="24.75" customHeight="1" x14ac:dyDescent="0.35"/>
    <row r="24" spans="1:1" ht="24.75" customHeight="1" x14ac:dyDescent="0.35"/>
    <row r="25" spans="1:1" ht="24.75" customHeight="1" x14ac:dyDescent="0.35"/>
    <row r="26" spans="1:1" ht="24.75" customHeight="1" x14ac:dyDescent="0.35"/>
    <row r="27" spans="1:1" ht="24.75" customHeight="1" x14ac:dyDescent="0.35"/>
    <row r="28" spans="1:1" ht="24.75" customHeight="1" x14ac:dyDescent="0.35"/>
    <row r="29" spans="1:1" ht="36" customHeight="1" x14ac:dyDescent="0.35"/>
  </sheetData>
  <sortState xmlns:xlrd2="http://schemas.microsoft.com/office/spreadsheetml/2017/richdata2" ref="B5:J9">
    <sortCondition ref="B5:B9"/>
  </sortState>
  <mergeCells count="1">
    <mergeCell ref="A1:J3"/>
  </mergeCells>
  <conditionalFormatting sqref="B5">
    <cfRule type="duplicateValues" dxfId="2" priority="1"/>
  </conditionalFormatting>
  <hyperlinks>
    <hyperlink ref="F7" r:id="rId1" xr:uid="{4C47A9F9-6355-4D08-ADD8-7621B6F44EB4}"/>
  </hyperlinks>
  <pageMargins left="0.511811024" right="0.511811024" top="0.78740157499999996" bottom="0.78740157499999996" header="0.31496062000000002" footer="0.31496062000000002"/>
  <pageSetup paperSize="9" scale="38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8DD4-4777-4D47-92B2-9342EB6952DB}">
  <sheetPr>
    <pageSetUpPr fitToPage="1"/>
  </sheetPr>
  <dimension ref="A1:CM27"/>
  <sheetViews>
    <sheetView view="pageBreakPreview" zoomScale="60" zoomScaleNormal="100" workbookViewId="0">
      <selection activeCell="J9" sqref="J9"/>
    </sheetView>
  </sheetViews>
  <sheetFormatPr defaultRowHeight="26.25" x14ac:dyDescent="0.4"/>
  <cols>
    <col min="2" max="2" width="45.140625" customWidth="1"/>
    <col min="3" max="3" width="31" style="17" customWidth="1"/>
    <col min="4" max="4" width="25" customWidth="1"/>
    <col min="5" max="5" width="22.42578125" customWidth="1"/>
    <col min="6" max="6" width="68.85546875" customWidth="1"/>
    <col min="7" max="7" width="23.7109375" customWidth="1"/>
    <col min="8" max="8" width="23.5703125" style="57" customWidth="1"/>
    <col min="9" max="9" width="18.7109375" customWidth="1"/>
    <col min="10" max="10" width="31.42578125" style="133" customWidth="1"/>
    <col min="11" max="11" width="0.140625" customWidth="1"/>
    <col min="12" max="12" width="9.140625" hidden="1" customWidth="1"/>
    <col min="13" max="13" width="47.140625" customWidth="1"/>
  </cols>
  <sheetData>
    <row r="1" spans="1:91" ht="15" customHeight="1" x14ac:dyDescent="0.25">
      <c r="A1" s="350" t="s">
        <v>146</v>
      </c>
      <c r="B1" s="350"/>
      <c r="C1" s="350"/>
      <c r="D1" s="350"/>
      <c r="E1" s="350"/>
      <c r="F1" s="350"/>
      <c r="G1" s="350"/>
      <c r="H1" s="350"/>
      <c r="I1" s="350"/>
      <c r="J1" s="350"/>
      <c r="K1" s="63"/>
      <c r="L1" s="64"/>
      <c r="M1" s="38"/>
    </row>
    <row r="2" spans="1:91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50"/>
      <c r="K2" s="65"/>
      <c r="M2" s="38"/>
    </row>
    <row r="3" spans="1:91" ht="25.5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65"/>
      <c r="M3" s="38"/>
    </row>
    <row r="4" spans="1:91" s="16" customFormat="1" ht="62.25" customHeight="1" x14ac:dyDescent="0.25">
      <c r="A4" s="146" t="s">
        <v>1</v>
      </c>
      <c r="B4" s="43" t="s">
        <v>2</v>
      </c>
      <c r="C4" s="43" t="s">
        <v>4</v>
      </c>
      <c r="D4" s="43" t="s">
        <v>30</v>
      </c>
      <c r="E4" s="43" t="s">
        <v>26</v>
      </c>
      <c r="F4" s="226" t="s">
        <v>95</v>
      </c>
      <c r="G4" s="227" t="s">
        <v>96</v>
      </c>
      <c r="H4" s="44" t="s">
        <v>7</v>
      </c>
      <c r="I4" s="43" t="s">
        <v>8</v>
      </c>
      <c r="J4" s="148" t="s">
        <v>14</v>
      </c>
      <c r="K4" s="66"/>
      <c r="M4" s="98" t="s">
        <v>51</v>
      </c>
    </row>
    <row r="5" spans="1:91" x14ac:dyDescent="0.4">
      <c r="A5" s="4">
        <v>1</v>
      </c>
      <c r="B5" s="90" t="s">
        <v>36</v>
      </c>
      <c r="C5" s="85" t="s">
        <v>74</v>
      </c>
      <c r="D5" s="86">
        <v>45418</v>
      </c>
      <c r="E5" s="86">
        <v>45444</v>
      </c>
      <c r="F5" s="322" t="s">
        <v>65</v>
      </c>
      <c r="G5" s="85" t="s">
        <v>98</v>
      </c>
      <c r="H5" s="87">
        <v>1840.37</v>
      </c>
      <c r="I5" s="147"/>
      <c r="J5" s="152">
        <v>920.18</v>
      </c>
      <c r="K5" s="83"/>
      <c r="L5" s="83"/>
      <c r="M5" s="180"/>
    </row>
    <row r="6" spans="1:91" x14ac:dyDescent="0.4">
      <c r="A6" s="4">
        <v>2</v>
      </c>
      <c r="B6" s="82" t="s">
        <v>82</v>
      </c>
      <c r="C6" s="76" t="s">
        <v>77</v>
      </c>
      <c r="D6" s="81">
        <v>45884</v>
      </c>
      <c r="E6" s="81">
        <v>45939</v>
      </c>
      <c r="F6" s="78">
        <v>81999804645</v>
      </c>
      <c r="G6" s="76" t="s">
        <v>100</v>
      </c>
      <c r="H6" s="97">
        <v>1621</v>
      </c>
      <c r="I6" s="76" t="s">
        <v>28</v>
      </c>
      <c r="J6" s="158">
        <v>699.43</v>
      </c>
      <c r="M6" s="191"/>
    </row>
    <row r="7" spans="1:91" x14ac:dyDescent="0.4">
      <c r="B7" s="17"/>
      <c r="C7"/>
      <c r="G7" s="57"/>
      <c r="H7"/>
      <c r="I7" s="133"/>
      <c r="J7"/>
    </row>
    <row r="8" spans="1:91" ht="41.25" customHeight="1" x14ac:dyDescent="0.4">
      <c r="A8" s="120"/>
      <c r="B8" s="120" t="s">
        <v>15</v>
      </c>
      <c r="C8" s="120"/>
      <c r="D8" s="143"/>
      <c r="E8" s="120"/>
      <c r="F8" s="120"/>
      <c r="G8" s="120"/>
      <c r="H8" s="120"/>
      <c r="I8" s="120"/>
      <c r="J8" s="122">
        <f>SUM(J5:L6)</f>
        <v>1619.61</v>
      </c>
      <c r="K8" s="83"/>
      <c r="L8" s="83"/>
      <c r="M8" s="121"/>
    </row>
    <row r="9" spans="1:91" ht="45" customHeight="1" x14ac:dyDescent="0.4"/>
    <row r="10" spans="1:91" ht="53.25" customHeight="1" x14ac:dyDescent="0.4"/>
    <row r="11" spans="1:91" ht="47.25" customHeight="1" x14ac:dyDescent="0.4"/>
    <row r="12" spans="1:91" ht="26.25" customHeight="1" x14ac:dyDescent="0.4"/>
    <row r="13" spans="1:91" ht="27" customHeight="1" x14ac:dyDescent="0.4"/>
    <row r="14" spans="1:91" s="18" customFormat="1" ht="24.75" customHeight="1" x14ac:dyDescent="0.4">
      <c r="A14"/>
      <c r="B14"/>
      <c r="C14" s="17"/>
      <c r="D14"/>
      <c r="E14"/>
      <c r="F14"/>
      <c r="G14"/>
      <c r="H14" s="57"/>
      <c r="I14"/>
      <c r="J14" s="13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1:91" ht="39.75" customHeight="1" x14ac:dyDescent="0.4"/>
    <row r="16" spans="1:91" ht="25.5" customHeight="1" x14ac:dyDescent="0.4"/>
    <row r="17" spans="9:9" ht="36.75" customHeight="1" x14ac:dyDescent="0.4"/>
    <row r="18" spans="9:9" ht="24.75" customHeight="1" x14ac:dyDescent="0.4"/>
    <row r="19" spans="9:9" ht="28.5" customHeight="1" x14ac:dyDescent="0.4">
      <c r="I19" s="116"/>
    </row>
    <row r="20" spans="9:9" ht="24.75" customHeight="1" x14ac:dyDescent="0.4"/>
    <row r="21" spans="9:9" ht="24.75" customHeight="1" x14ac:dyDescent="0.4"/>
    <row r="22" spans="9:9" ht="24.75" customHeight="1" x14ac:dyDescent="0.4"/>
    <row r="23" spans="9:9" ht="24.75" customHeight="1" x14ac:dyDescent="0.4"/>
    <row r="24" spans="9:9" ht="24.75" customHeight="1" x14ac:dyDescent="0.4"/>
    <row r="25" spans="9:9" ht="24.75" customHeight="1" x14ac:dyDescent="0.4"/>
    <row r="26" spans="9:9" ht="24.75" customHeight="1" x14ac:dyDescent="0.4"/>
    <row r="27" spans="9:9" ht="36" customHeight="1" x14ac:dyDescent="0.4"/>
  </sheetData>
  <mergeCells count="1">
    <mergeCell ref="A1:J3"/>
  </mergeCells>
  <phoneticPr fontId="21" type="noConversion"/>
  <conditionalFormatting sqref="B5">
    <cfRule type="duplicateValues" dxfId="1" priority="1"/>
  </conditionalFormatting>
  <hyperlinks>
    <hyperlink ref="F5" r:id="rId1" xr:uid="{E02DF464-D6D1-4915-965D-5F7464D3EAA4}"/>
  </hyperlinks>
  <pageMargins left="0.25" right="0.25" top="0.75" bottom="0.75" header="0.3" footer="0.3"/>
  <pageSetup paperSize="9" scale="41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8D9A-BB9D-49C8-98D7-198176CA489F}">
  <sheetPr>
    <pageSetUpPr fitToPage="1"/>
  </sheetPr>
  <dimension ref="A1:K15"/>
  <sheetViews>
    <sheetView view="pageBreakPreview" zoomScale="60" zoomScaleNormal="100" workbookViewId="0">
      <selection activeCell="J12" sqref="J12"/>
    </sheetView>
  </sheetViews>
  <sheetFormatPr defaultRowHeight="21" x14ac:dyDescent="0.35"/>
  <cols>
    <col min="2" max="2" width="65.140625" customWidth="1"/>
    <col min="3" max="3" width="26.42578125" customWidth="1"/>
    <col min="4" max="4" width="22.28515625" customWidth="1"/>
    <col min="5" max="5" width="20.42578125" customWidth="1"/>
    <col min="6" max="6" width="27" customWidth="1"/>
    <col min="7" max="7" width="19.42578125" customWidth="1"/>
    <col min="8" max="8" width="27.5703125" customWidth="1"/>
    <col min="9" max="9" width="16.7109375" style="224" customWidth="1"/>
    <col min="10" max="10" width="27.28515625" customWidth="1"/>
    <col min="11" max="11" width="53.42578125" customWidth="1"/>
  </cols>
  <sheetData>
    <row r="1" spans="1:11" ht="15" customHeight="1" x14ac:dyDescent="0.25">
      <c r="A1" s="350" t="s">
        <v>147</v>
      </c>
      <c r="B1" s="350"/>
      <c r="C1" s="350"/>
      <c r="D1" s="350"/>
      <c r="E1" s="350"/>
      <c r="F1" s="350"/>
      <c r="G1" s="350"/>
      <c r="H1" s="350"/>
      <c r="I1" s="350"/>
      <c r="J1" s="360"/>
      <c r="K1" s="107"/>
    </row>
    <row r="2" spans="1:11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60"/>
      <c r="K2" s="107"/>
    </row>
    <row r="3" spans="1:11" ht="15.75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60"/>
      <c r="K3" s="107"/>
    </row>
    <row r="4" spans="1:11" s="3" customFormat="1" ht="64.5" customHeight="1" thickBot="1" x14ac:dyDescent="0.3">
      <c r="A4" s="21" t="s">
        <v>1</v>
      </c>
      <c r="B4" s="23" t="s">
        <v>2</v>
      </c>
      <c r="C4" s="27" t="s">
        <v>4</v>
      </c>
      <c r="D4" s="22" t="s">
        <v>30</v>
      </c>
      <c r="E4" s="22" t="s">
        <v>26</v>
      </c>
      <c r="F4" s="225" t="s">
        <v>95</v>
      </c>
      <c r="G4" s="225" t="s">
        <v>96</v>
      </c>
      <c r="H4" s="22" t="s">
        <v>7</v>
      </c>
      <c r="I4" s="221" t="s">
        <v>29</v>
      </c>
      <c r="J4" s="23" t="s">
        <v>14</v>
      </c>
      <c r="K4" s="56" t="s">
        <v>51</v>
      </c>
    </row>
    <row r="5" spans="1:11" s="3" customFormat="1" ht="27" customHeight="1" x14ac:dyDescent="0.4">
      <c r="A5" s="60">
        <v>1</v>
      </c>
      <c r="B5" s="77" t="s">
        <v>20</v>
      </c>
      <c r="C5" s="78" t="s">
        <v>23</v>
      </c>
      <c r="D5" s="78" t="s">
        <v>28</v>
      </c>
      <c r="E5" s="79">
        <v>45059</v>
      </c>
      <c r="F5" s="323">
        <v>71720638489</v>
      </c>
      <c r="G5" s="99" t="s">
        <v>98</v>
      </c>
      <c r="H5" s="80">
        <v>2322.9</v>
      </c>
      <c r="I5" s="222" t="s">
        <v>28</v>
      </c>
      <c r="J5" s="159">
        <v>1138.1600000000001</v>
      </c>
      <c r="K5" s="218"/>
    </row>
    <row r="6" spans="1:11" ht="26.25" x14ac:dyDescent="0.4">
      <c r="A6" s="76">
        <v>2</v>
      </c>
      <c r="B6" s="149" t="s">
        <v>37</v>
      </c>
      <c r="C6" s="150" t="s">
        <v>38</v>
      </c>
      <c r="D6" s="151">
        <v>45420</v>
      </c>
      <c r="E6" s="151">
        <v>45444</v>
      </c>
      <c r="F6" s="324">
        <v>11078971498</v>
      </c>
      <c r="G6" s="150" t="s">
        <v>98</v>
      </c>
      <c r="H6" s="115">
        <v>1621</v>
      </c>
      <c r="I6" s="223" t="s">
        <v>28</v>
      </c>
      <c r="J6" s="156">
        <v>834.51</v>
      </c>
      <c r="K6" s="219" t="s">
        <v>152</v>
      </c>
    </row>
    <row r="7" spans="1:11" ht="26.25" x14ac:dyDescent="0.4">
      <c r="A7" s="92">
        <v>3</v>
      </c>
      <c r="B7" s="77" t="s">
        <v>22</v>
      </c>
      <c r="C7" s="78" t="s">
        <v>17</v>
      </c>
      <c r="D7" s="78" t="s">
        <v>28</v>
      </c>
      <c r="E7" s="79">
        <v>45064</v>
      </c>
      <c r="F7" s="323" t="s">
        <v>67</v>
      </c>
      <c r="G7" s="78" t="s">
        <v>101</v>
      </c>
      <c r="H7" s="80">
        <v>1621</v>
      </c>
      <c r="I7" s="222" t="s">
        <v>28</v>
      </c>
      <c r="J7" s="159">
        <v>699.43</v>
      </c>
      <c r="K7" s="112"/>
    </row>
    <row r="8" spans="1:11" ht="26.25" x14ac:dyDescent="0.4">
      <c r="A8" s="76">
        <v>4</v>
      </c>
      <c r="B8" s="82" t="s">
        <v>60</v>
      </c>
      <c r="C8" s="82" t="s">
        <v>68</v>
      </c>
      <c r="D8" s="81">
        <v>45797</v>
      </c>
      <c r="E8" s="81">
        <v>45890</v>
      </c>
      <c r="F8" s="88">
        <v>81989941935</v>
      </c>
      <c r="G8" s="76" t="s">
        <v>98</v>
      </c>
      <c r="H8" s="97">
        <v>1621</v>
      </c>
      <c r="I8" s="39" t="s">
        <v>28</v>
      </c>
      <c r="J8" s="158">
        <v>766.97</v>
      </c>
      <c r="K8" s="113" t="s">
        <v>116</v>
      </c>
    </row>
    <row r="9" spans="1:11" ht="26.25" customHeight="1" x14ac:dyDescent="0.4">
      <c r="A9" s="88">
        <v>5</v>
      </c>
      <c r="B9" s="82" t="s">
        <v>61</v>
      </c>
      <c r="C9" s="82" t="s">
        <v>69</v>
      </c>
      <c r="D9" s="81">
        <v>45799</v>
      </c>
      <c r="E9" s="81">
        <v>45890</v>
      </c>
      <c r="F9" s="88">
        <v>10510776485</v>
      </c>
      <c r="G9" s="76" t="s">
        <v>98</v>
      </c>
      <c r="H9" s="97">
        <v>1621</v>
      </c>
      <c r="I9" s="39" t="s">
        <v>28</v>
      </c>
      <c r="J9" s="158">
        <v>602.16999999999996</v>
      </c>
      <c r="K9" s="113" t="s">
        <v>111</v>
      </c>
    </row>
    <row r="10" spans="1:11" ht="25.5" customHeight="1" x14ac:dyDescent="0.4">
      <c r="A10" s="76"/>
      <c r="K10" s="113"/>
    </row>
    <row r="11" spans="1:11" ht="39" customHeight="1" x14ac:dyDescent="0.25">
      <c r="A11" s="361" t="s">
        <v>15</v>
      </c>
      <c r="B11" s="361"/>
      <c r="C11" s="361"/>
      <c r="D11" s="361"/>
      <c r="E11" s="361"/>
      <c r="F11" s="361"/>
      <c r="G11" s="361"/>
      <c r="H11" s="361"/>
      <c r="I11" s="361"/>
      <c r="J11" s="181">
        <f>SUM(J5:J9)</f>
        <v>4041.24</v>
      </c>
      <c r="K11" s="182"/>
    </row>
    <row r="12" spans="1:11" ht="22.5" customHeight="1" x14ac:dyDescent="0.35"/>
    <row r="13" spans="1:11" ht="45" customHeight="1" x14ac:dyDescent="0.35"/>
    <row r="14" spans="1:11" ht="22.5" customHeight="1" x14ac:dyDescent="0.35"/>
    <row r="15" spans="1:11" x14ac:dyDescent="0.35">
      <c r="A15" s="26"/>
    </row>
  </sheetData>
  <sortState xmlns:xlrd2="http://schemas.microsoft.com/office/spreadsheetml/2017/richdata2" ref="B5:J9">
    <sortCondition ref="B5:B9"/>
  </sortState>
  <mergeCells count="2">
    <mergeCell ref="A1:J3"/>
    <mergeCell ref="A11:I11"/>
  </mergeCells>
  <conditionalFormatting sqref="B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4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E05B-5D55-4852-A6CA-CB7EB4188729}">
  <sheetPr>
    <pageSetUpPr fitToPage="1"/>
  </sheetPr>
  <dimension ref="A1:T21"/>
  <sheetViews>
    <sheetView view="pageBreakPreview" topLeftCell="B1" zoomScale="60" zoomScaleNormal="100" workbookViewId="0">
      <selection activeCell="J11" sqref="J11"/>
    </sheetView>
  </sheetViews>
  <sheetFormatPr defaultRowHeight="26.25" x14ac:dyDescent="0.4"/>
  <cols>
    <col min="1" max="1" width="9.28515625" bestFit="1" customWidth="1"/>
    <col min="2" max="2" width="63.140625" customWidth="1"/>
    <col min="3" max="3" width="27.5703125" customWidth="1"/>
    <col min="4" max="4" width="25" customWidth="1"/>
    <col min="5" max="5" width="21" style="214" customWidth="1"/>
    <col min="6" max="6" width="44.42578125" customWidth="1"/>
    <col min="7" max="7" width="24.7109375" customWidth="1"/>
    <col min="8" max="8" width="26.85546875" customWidth="1"/>
    <col min="9" max="9" width="19.5703125" customWidth="1"/>
    <col min="10" max="10" width="30.140625" style="133" customWidth="1"/>
    <col min="11" max="11" width="47.42578125" customWidth="1"/>
    <col min="12" max="12" width="0.42578125" customWidth="1"/>
    <col min="13" max="20" width="9.140625" hidden="1" customWidth="1"/>
  </cols>
  <sheetData>
    <row r="1" spans="1:20" ht="15" customHeight="1" x14ac:dyDescent="0.25">
      <c r="A1" s="350" t="s">
        <v>148</v>
      </c>
      <c r="B1" s="350"/>
      <c r="C1" s="350"/>
      <c r="D1" s="350"/>
      <c r="E1" s="350"/>
      <c r="F1" s="350"/>
      <c r="G1" s="350"/>
      <c r="H1" s="350"/>
      <c r="I1" s="350"/>
      <c r="J1" s="350"/>
      <c r="K1" s="365"/>
      <c r="L1" s="365"/>
      <c r="M1" s="365"/>
      <c r="N1" s="365"/>
      <c r="O1" s="365"/>
      <c r="P1" s="365"/>
      <c r="Q1" s="365"/>
      <c r="R1" s="365"/>
      <c r="S1" s="365"/>
      <c r="T1" s="365"/>
    </row>
    <row r="2" spans="1:20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50"/>
      <c r="K2" s="365"/>
      <c r="L2" s="365"/>
      <c r="M2" s="365"/>
      <c r="N2" s="365"/>
      <c r="O2" s="365"/>
      <c r="P2" s="365"/>
      <c r="Q2" s="365"/>
      <c r="R2" s="365"/>
      <c r="S2" s="365"/>
      <c r="T2" s="365"/>
    </row>
    <row r="3" spans="1:20" ht="26.1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50"/>
      <c r="K3" s="365"/>
      <c r="L3" s="365"/>
      <c r="M3" s="365"/>
      <c r="N3" s="365"/>
      <c r="O3" s="365"/>
      <c r="P3" s="365"/>
      <c r="Q3" s="365"/>
      <c r="R3" s="365"/>
      <c r="S3" s="365"/>
      <c r="T3" s="365"/>
    </row>
    <row r="4" spans="1:20" s="3" customFormat="1" ht="54" customHeight="1" x14ac:dyDescent="0.35">
      <c r="A4" s="31" t="s">
        <v>1</v>
      </c>
      <c r="B4" s="25" t="s">
        <v>2</v>
      </c>
      <c r="C4" s="24" t="s">
        <v>4</v>
      </c>
      <c r="D4" s="24" t="s">
        <v>30</v>
      </c>
      <c r="E4" s="258" t="s">
        <v>26</v>
      </c>
      <c r="F4" s="226" t="s">
        <v>95</v>
      </c>
      <c r="G4" s="226" t="s">
        <v>96</v>
      </c>
      <c r="H4" s="24" t="s">
        <v>7</v>
      </c>
      <c r="I4" s="53" t="s">
        <v>8</v>
      </c>
      <c r="J4" s="263" t="s">
        <v>14</v>
      </c>
      <c r="K4" s="67" t="s">
        <v>52</v>
      </c>
    </row>
    <row r="5" spans="1:20" ht="27" customHeight="1" x14ac:dyDescent="0.4">
      <c r="A5" s="92">
        <v>1</v>
      </c>
      <c r="B5" s="82" t="s">
        <v>79</v>
      </c>
      <c r="C5" s="82" t="s">
        <v>81</v>
      </c>
      <c r="D5" s="81">
        <v>45887</v>
      </c>
      <c r="E5" s="76" t="s">
        <v>28</v>
      </c>
      <c r="F5" s="317" t="s">
        <v>80</v>
      </c>
      <c r="G5" s="76" t="s">
        <v>100</v>
      </c>
      <c r="H5" s="97"/>
      <c r="I5" s="97">
        <v>0</v>
      </c>
      <c r="J5" s="158">
        <v>870.87</v>
      </c>
      <c r="K5" s="183" t="s">
        <v>153</v>
      </c>
    </row>
    <row r="6" spans="1:20" ht="27" customHeight="1" x14ac:dyDescent="0.25">
      <c r="E6"/>
      <c r="J6"/>
    </row>
    <row r="7" spans="1:20" ht="42" customHeight="1" thickBot="1" x14ac:dyDescent="0.45">
      <c r="A7" s="362" t="s">
        <v>15</v>
      </c>
      <c r="B7" s="363"/>
      <c r="C7" s="363"/>
      <c r="D7" s="363"/>
      <c r="E7" s="363"/>
      <c r="F7" s="363"/>
      <c r="G7" s="363"/>
      <c r="H7" s="363"/>
      <c r="I7" s="363"/>
      <c r="J7" s="262">
        <f>SUM(J5:J5)</f>
        <v>870.87</v>
      </c>
      <c r="K7" s="240"/>
    </row>
    <row r="8" spans="1:20" ht="27" customHeight="1" x14ac:dyDescent="0.25">
      <c r="E8"/>
      <c r="J8"/>
    </row>
    <row r="9" spans="1:20" ht="39.75" customHeight="1" x14ac:dyDescent="0.4"/>
    <row r="10" spans="1:20" ht="26.25" customHeight="1" x14ac:dyDescent="0.25">
      <c r="E10"/>
      <c r="J10"/>
    </row>
    <row r="11" spans="1:20" ht="27" customHeight="1" x14ac:dyDescent="0.4"/>
    <row r="12" spans="1:20" ht="49.5" customHeight="1" x14ac:dyDescent="0.4"/>
    <row r="13" spans="1:20" s="7" customFormat="1" ht="27" customHeight="1" x14ac:dyDescent="0.4">
      <c r="E13" s="214"/>
      <c r="J13" s="133"/>
    </row>
    <row r="14" spans="1:20" s="7" customFormat="1" ht="27" customHeight="1" x14ac:dyDescent="0.4">
      <c r="E14" s="214"/>
      <c r="J14" s="133"/>
      <c r="L14"/>
      <c r="M14"/>
      <c r="N14"/>
    </row>
    <row r="15" spans="1:20" s="7" customFormat="1" ht="27" customHeight="1" x14ac:dyDescent="0.4">
      <c r="A15" s="17"/>
      <c r="B15" s="17"/>
      <c r="C15" s="17"/>
      <c r="D15" s="17"/>
      <c r="E15" s="214"/>
      <c r="F15" s="17"/>
      <c r="G15" s="364"/>
      <c r="H15" s="364"/>
      <c r="I15"/>
      <c r="J15" s="133"/>
      <c r="K15"/>
      <c r="L15"/>
    </row>
    <row r="16" spans="1:20" s="7" customFormat="1" ht="27" customHeight="1" x14ac:dyDescent="0.4">
      <c r="A16"/>
      <c r="B16" s="17"/>
      <c r="C16" s="17"/>
      <c r="D16" s="17"/>
      <c r="E16" s="214"/>
      <c r="F16" s="17"/>
      <c r="G16" s="17"/>
      <c r="H16" s="364"/>
      <c r="I16" s="364"/>
      <c r="J16" s="133"/>
      <c r="K16"/>
      <c r="L16"/>
      <c r="M16"/>
    </row>
    <row r="17" ht="27" customHeight="1" x14ac:dyDescent="0.4"/>
    <row r="18" ht="27" customHeight="1" x14ac:dyDescent="0.4"/>
    <row r="19" ht="27" customHeight="1" x14ac:dyDescent="0.4"/>
    <row r="20" ht="32.1" customHeight="1" x14ac:dyDescent="0.4"/>
    <row r="21" ht="32.1" customHeight="1" x14ac:dyDescent="0.4"/>
  </sheetData>
  <sortState xmlns:xlrd2="http://schemas.microsoft.com/office/spreadsheetml/2017/richdata2" ref="B5:J12">
    <sortCondition ref="B5:B12"/>
  </sortState>
  <mergeCells count="5">
    <mergeCell ref="A1:J3"/>
    <mergeCell ref="A7:I7"/>
    <mergeCell ref="G15:H15"/>
    <mergeCell ref="H16:I16"/>
    <mergeCell ref="K1:T3"/>
  </mergeCells>
  <phoneticPr fontId="21" type="noConversion"/>
  <printOptions horizontalCentered="1"/>
  <pageMargins left="0.23622047244094488" right="0.23622047244094488" top="0.74803149606299213" bottom="0.74803149606299213" header="0.31496062992125984" footer="0.31496062992125984"/>
  <pageSetup paperSize="9" scale="42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04A-E8B8-4FA2-AFFA-18A640879E07}">
  <sheetPr>
    <pageSetUpPr fitToPage="1"/>
  </sheetPr>
  <dimension ref="A1:K14"/>
  <sheetViews>
    <sheetView view="pageBreakPreview" zoomScale="60" zoomScaleNormal="100" workbookViewId="0">
      <selection activeCell="H11" sqref="H11"/>
    </sheetView>
  </sheetViews>
  <sheetFormatPr defaultRowHeight="15" x14ac:dyDescent="0.25"/>
  <cols>
    <col min="1" max="1" width="9.28515625" bestFit="1" customWidth="1"/>
    <col min="2" max="2" width="58.140625" customWidth="1"/>
    <col min="3" max="3" width="26" customWidth="1"/>
    <col min="4" max="4" width="22.7109375" customWidth="1"/>
    <col min="5" max="5" width="20.85546875" customWidth="1"/>
    <col min="6" max="6" width="29" customWidth="1"/>
    <col min="7" max="7" width="26.5703125" customWidth="1"/>
    <col min="8" max="8" width="26" customWidth="1"/>
    <col min="9" max="9" width="19.140625" customWidth="1"/>
    <col min="10" max="10" width="27.85546875" customWidth="1"/>
    <col min="11" max="11" width="54.140625" customWidth="1"/>
  </cols>
  <sheetData>
    <row r="1" spans="1:11" ht="15" customHeight="1" x14ac:dyDescent="0.25">
      <c r="A1" s="350" t="s">
        <v>149</v>
      </c>
      <c r="B1" s="350"/>
      <c r="C1" s="350"/>
      <c r="D1" s="350"/>
      <c r="E1" s="350"/>
      <c r="F1" s="350"/>
      <c r="G1" s="350"/>
      <c r="H1" s="350"/>
      <c r="I1" s="350"/>
      <c r="J1" s="360"/>
      <c r="K1" s="38"/>
    </row>
    <row r="2" spans="1:11" ht="15" customHeight="1" x14ac:dyDescent="0.25">
      <c r="A2" s="350"/>
      <c r="B2" s="350"/>
      <c r="C2" s="350"/>
      <c r="D2" s="350"/>
      <c r="E2" s="350"/>
      <c r="F2" s="350"/>
      <c r="G2" s="350"/>
      <c r="H2" s="350"/>
      <c r="I2" s="350"/>
      <c r="J2" s="360"/>
      <c r="K2" s="38"/>
    </row>
    <row r="3" spans="1:11" ht="28.5" customHeight="1" thickBot="1" x14ac:dyDescent="0.3">
      <c r="A3" s="350"/>
      <c r="B3" s="350"/>
      <c r="C3" s="350"/>
      <c r="D3" s="350"/>
      <c r="E3" s="350"/>
      <c r="F3" s="350"/>
      <c r="G3" s="350"/>
      <c r="H3" s="350"/>
      <c r="I3" s="350"/>
      <c r="J3" s="360"/>
      <c r="K3" s="38"/>
    </row>
    <row r="4" spans="1:11" ht="39.75" customHeight="1" x14ac:dyDescent="0.25">
      <c r="A4" s="31" t="s">
        <v>1</v>
      </c>
      <c r="B4" s="25" t="s">
        <v>2</v>
      </c>
      <c r="C4" s="24" t="s">
        <v>4</v>
      </c>
      <c r="D4" s="24" t="s">
        <v>30</v>
      </c>
      <c r="E4" s="24" t="s">
        <v>26</v>
      </c>
      <c r="F4" s="226" t="s">
        <v>95</v>
      </c>
      <c r="G4" s="226" t="s">
        <v>96</v>
      </c>
      <c r="H4" s="24" t="s">
        <v>7</v>
      </c>
      <c r="I4" s="53" t="s">
        <v>29</v>
      </c>
      <c r="J4" s="53" t="s">
        <v>14</v>
      </c>
      <c r="K4" s="333" t="s">
        <v>59</v>
      </c>
    </row>
    <row r="5" spans="1:11" ht="26.25" x14ac:dyDescent="0.4">
      <c r="A5" s="92">
        <v>1</v>
      </c>
      <c r="B5" s="101" t="s">
        <v>31</v>
      </c>
      <c r="C5" s="89" t="s">
        <v>33</v>
      </c>
      <c r="D5" s="100">
        <v>45371</v>
      </c>
      <c r="E5" s="220">
        <v>45416</v>
      </c>
      <c r="F5" s="349" t="s">
        <v>33</v>
      </c>
      <c r="G5" s="89" t="s">
        <v>102</v>
      </c>
      <c r="H5" s="102">
        <v>2322.9</v>
      </c>
      <c r="I5" s="94">
        <v>0</v>
      </c>
      <c r="J5" s="297">
        <v>847.29</v>
      </c>
      <c r="K5" s="207" t="s">
        <v>132</v>
      </c>
    </row>
    <row r="6" spans="1:11" ht="18.75" customHeight="1" x14ac:dyDescent="0.25"/>
    <row r="7" spans="1:11" s="7" customFormat="1" ht="25.5" customHeight="1" thickBot="1" x14ac:dyDescent="0.4"/>
    <row r="8" spans="1:11" s="7" customFormat="1" ht="51" customHeight="1" thickBot="1" x14ac:dyDescent="0.45">
      <c r="A8" s="366" t="s">
        <v>25</v>
      </c>
      <c r="B8" s="367"/>
      <c r="C8" s="367"/>
      <c r="D8" s="367"/>
      <c r="E8" s="367"/>
      <c r="F8" s="367"/>
      <c r="G8" s="367"/>
      <c r="H8" s="367"/>
      <c r="I8" s="367"/>
      <c r="J8" s="184">
        <f>SUM(J5:J5)</f>
        <v>847.29</v>
      </c>
      <c r="K8" s="185"/>
    </row>
    <row r="9" spans="1:11" ht="45" customHeight="1" x14ac:dyDescent="0.25"/>
    <row r="10" spans="1:11" ht="26.25" x14ac:dyDescent="0.4">
      <c r="A10" s="83"/>
    </row>
    <row r="11" spans="1:11" ht="26.25" x14ac:dyDescent="0.4">
      <c r="A11" s="83"/>
    </row>
    <row r="14" spans="1:11" x14ac:dyDescent="0.25">
      <c r="E14" t="s">
        <v>25</v>
      </c>
    </row>
  </sheetData>
  <sortState xmlns:xlrd2="http://schemas.microsoft.com/office/spreadsheetml/2017/richdata2" ref="B5:J5">
    <sortCondition ref="B5"/>
  </sortState>
  <mergeCells count="2">
    <mergeCell ref="A1:J3"/>
    <mergeCell ref="A8:I8"/>
  </mergeCells>
  <pageMargins left="0.7" right="0.7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MEMORIA DE CALC FOLHA </vt:lpstr>
      <vt:lpstr>CALC AVULSOS</vt:lpstr>
      <vt:lpstr>ADM</vt:lpstr>
      <vt:lpstr>VIGILANTES</vt:lpstr>
      <vt:lpstr>CAMARAGIBE</vt:lpstr>
      <vt:lpstr>ONLINE</vt:lpstr>
      <vt:lpstr>SÃO LOURENCO</vt:lpstr>
      <vt:lpstr>CARPINA</vt:lpstr>
      <vt:lpstr>NAZARÉ</vt:lpstr>
      <vt:lpstr>ADM!Print_Area</vt:lpstr>
      <vt:lpstr>CAMARAGIBE!Print_Area</vt:lpstr>
      <vt:lpstr>CARPINA!Print_Area</vt:lpstr>
      <vt:lpstr>'MEMORIA DE CALC FOLHA '!Print_Area</vt:lpstr>
      <vt:lpstr>NAZARÉ!Print_Area</vt:lpstr>
      <vt:lpstr>ONLINE!Print_Area</vt:lpstr>
      <vt:lpstr>'SÃO LOURENCO'!Print_Area</vt:lpstr>
      <vt:lpstr>VIGILANTES!Print_Area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Andrade</dc:creator>
  <cp:keywords/>
  <dc:description/>
  <cp:lastModifiedBy>Livre Cred RH</cp:lastModifiedBy>
  <cp:revision/>
  <cp:lastPrinted>2026-03-31T17:32:12Z</cp:lastPrinted>
  <dcterms:created xsi:type="dcterms:W3CDTF">2022-07-14T17:52:09Z</dcterms:created>
  <dcterms:modified xsi:type="dcterms:W3CDTF">2026-03-31T17:32:17Z</dcterms:modified>
  <cp:category/>
  <cp:contentStatus/>
</cp:coreProperties>
</file>